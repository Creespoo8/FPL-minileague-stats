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W" sheetId="1" r:id="rId4"/>
    <sheet state="hidden" name="grafika" sheetId="2" r:id="rId5"/>
    <sheet state="visible" name="Stats" sheetId="3" r:id="rId6"/>
    <sheet state="visible" name="Chips+Captain" sheetId="4" r:id="rId7"/>
    <sheet state="hidden" name="Season review" sheetId="5" r:id="rId8"/>
    <sheet state="hidden" name="Pomocný" sheetId="6" r:id="rId9"/>
  </sheets>
  <definedNames>
    <definedName localSheetId="1" name="data">grafika!$O$4:$R$14</definedName>
    <definedName name="data">GW!$O$5:$R$14</definedName>
  </definedNames>
  <calcPr/>
  <extLst>
    <ext uri="GoogleSheetsCustomDataVersion2">
      <go:sheetsCustomData xmlns:go="http://customooxmlschemas.google.com/" r:id="rId10" roundtripDataChecksum="IdkfAUiNMlRUsbA4Nx/T+DloKY7JKwUYVlrtbfWUnU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3">
      <text>
        <t xml:space="preserve">======
ID#AAABU19fLvw
    (2024-09-01 18:52:19)
Průměrná (směrodatná) odchylka - čím nižší tím vyrovnanější výsledky</t>
      </text>
    </comment>
    <comment authorId="0" ref="G3">
      <text>
        <t xml:space="preserve">======
ID#AAABUqmsbtY
    (2024-09-01 14:32:19)
součet za posledních 5 GW</t>
      </text>
    </comment>
  </commentList>
  <extLst>
    <ext uri="GoogleSheetsCustomDataVersion2">
      <go:sheetsCustomData xmlns:go="http://customooxmlschemas.google.com/" r:id="rId1" roundtripDataSignature="AMtx7mhH2h4m3RVoMgqBe2PSsoSU6ArjZ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3">
      <text>
        <t xml:space="preserve">======
ID#AAABU19fLv0
    (2024-09-01 18:52:19)
součet za posledních 5 GW</t>
      </text>
    </comment>
    <comment authorId="0" ref="H3">
      <text>
        <t xml:space="preserve">======
ID#AAABUqmsbtU
    (2024-09-01 14:32:19)
Průměrná (směrodatná) odchylka - čím nižší tím vyrovnanější výsledky</t>
      </text>
    </comment>
  </commentList>
  <extLst>
    <ext uri="GoogleSheetsCustomDataVersion2">
      <go:sheetsCustomData xmlns:go="http://customooxmlschemas.google.com/" r:id="rId1" roundtripDataSignature="AMtx7mjgllL+IoZE/G86YPFFacDJnoXOsA=="/>
    </ext>
  </extLst>
</comments>
</file>

<file path=xl/sharedStrings.xml><?xml version="1.0" encoding="utf-8"?>
<sst xmlns="http://schemas.openxmlformats.org/spreadsheetml/2006/main" count="662" uniqueCount="161">
  <si>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</si>
  <si>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</si>
  <si>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</si>
  <si>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</si>
  <si>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</si>
  <si>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</si>
  <si>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</si>
  <si>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</si>
  <si>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</si>
  <si>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</si>
  <si>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Body</t>
  </si>
  <si>
    <t>cena přestupů</t>
  </si>
  <si>
    <t>Průměr</t>
  </si>
  <si>
    <t>Forma (5 kol)</t>
  </si>
  <si>
    <t>SD</t>
  </si>
  <si>
    <t>Max</t>
  </si>
  <si>
    <t>Min</t>
  </si>
  <si>
    <t>1. half</t>
  </si>
  <si>
    <t>2. half</t>
  </si>
  <si>
    <t>GW 01</t>
  </si>
  <si>
    <t>GW 02</t>
  </si>
  <si>
    <t>GW 03</t>
  </si>
  <si>
    <t>GW 04</t>
  </si>
  <si>
    <t>GW 05</t>
  </si>
  <si>
    <t>GW 06</t>
  </si>
  <si>
    <t>GW 07</t>
  </si>
  <si>
    <t>GW 08</t>
  </si>
  <si>
    <t>GW 09</t>
  </si>
  <si>
    <t>GW 10</t>
  </si>
  <si>
    <t>GW 11</t>
  </si>
  <si>
    <t>GW 12</t>
  </si>
  <si>
    <t>GW 13</t>
  </si>
  <si>
    <t>GW 14</t>
  </si>
  <si>
    <t>GW 15</t>
  </si>
  <si>
    <t>GW 16</t>
  </si>
  <si>
    <t>GW 17</t>
  </si>
  <si>
    <t>GW 18</t>
  </si>
  <si>
    <t>GW 19</t>
  </si>
  <si>
    <t>GW 20</t>
  </si>
  <si>
    <t>GW 21</t>
  </si>
  <si>
    <t>GW 22</t>
  </si>
  <si>
    <t>GW 23</t>
  </si>
  <si>
    <t>GW 24</t>
  </si>
  <si>
    <t>GW 25</t>
  </si>
  <si>
    <t>GW 26</t>
  </si>
  <si>
    <t>GW 27</t>
  </si>
  <si>
    <t>GW 28</t>
  </si>
  <si>
    <t>GW 29</t>
  </si>
  <si>
    <t>GW 30</t>
  </si>
  <si>
    <t>GW 31</t>
  </si>
  <si>
    <t>GW 32</t>
  </si>
  <si>
    <t>GW 33</t>
  </si>
  <si>
    <t>GW 34</t>
  </si>
  <si>
    <t>GW 35</t>
  </si>
  <si>
    <t>GW 36</t>
  </si>
  <si>
    <t>GW 37</t>
  </si>
  <si>
    <t>GW 38</t>
  </si>
  <si>
    <t>Triple Captain</t>
  </si>
  <si>
    <t>Bench boost</t>
  </si>
  <si>
    <t>Ass man</t>
  </si>
  <si>
    <t>Wildcard</t>
  </si>
  <si>
    <t>Wildcard 2</t>
  </si>
  <si>
    <t>Freehit</t>
  </si>
  <si>
    <t>Season 22/23</t>
  </si>
  <si>
    <t>Tomáš Kreps</t>
  </si>
  <si>
    <t>W 34</t>
  </si>
  <si>
    <t>-</t>
  </si>
  <si>
    <t>Milan Pádivý</t>
  </si>
  <si>
    <t>GW 5</t>
  </si>
  <si>
    <t>Josef Mokráň</t>
  </si>
  <si>
    <t>GW 9</t>
  </si>
  <si>
    <t>Milan Procházka</t>
  </si>
  <si>
    <t>Martin Vácha</t>
  </si>
  <si>
    <t>GW 4</t>
  </si>
  <si>
    <t>Denis Dvořák</t>
  </si>
  <si>
    <t>Miroslav Pádivý</t>
  </si>
  <si>
    <t>Martin Šípek</t>
  </si>
  <si>
    <t>Tomáš Čedík</t>
  </si>
  <si>
    <t>Miroslav Paňák</t>
  </si>
  <si>
    <t>FPL avg GW</t>
  </si>
  <si>
    <t>Náš průměr kola</t>
  </si>
  <si>
    <t>MAX of GW</t>
  </si>
  <si>
    <t>MIN of GW</t>
  </si>
  <si>
    <t>neofiko</t>
  </si>
  <si>
    <t>Mystery</t>
  </si>
  <si>
    <t>Michal Marek</t>
  </si>
  <si>
    <t>TOP 25 Best Performance</t>
  </si>
  <si>
    <t>TOP 25 Worst Performance</t>
  </si>
  <si>
    <t>Manager of the Month</t>
  </si>
  <si>
    <t># GW</t>
  </si>
  <si>
    <t>Winner of the GW</t>
  </si>
  <si>
    <t>Loser of the GW</t>
  </si>
  <si>
    <t>Triple Captain use</t>
  </si>
  <si>
    <t>Assistan manager</t>
  </si>
  <si>
    <t>GW</t>
  </si>
  <si>
    <t>Captain</t>
  </si>
  <si>
    <t>C. points</t>
  </si>
  <si>
    <t>extra</t>
  </si>
  <si>
    <t>opp</t>
  </si>
  <si>
    <t>Manager</t>
  </si>
  <si>
    <t>points</t>
  </si>
  <si>
    <t>Isak</t>
  </si>
  <si>
    <t>MUN; CRY</t>
  </si>
  <si>
    <t>24-26</t>
  </si>
  <si>
    <t>Slot, Slot, Arteta</t>
  </si>
  <si>
    <t>bou+eve; WOL+avl; WHU</t>
  </si>
  <si>
    <t>Salah</t>
  </si>
  <si>
    <t>IPS</t>
  </si>
  <si>
    <t>32-34</t>
  </si>
  <si>
    <t>Howe, Arteta, Howe</t>
  </si>
  <si>
    <t>MUN+CRY; ips+CRY; IPS</t>
  </si>
  <si>
    <t>Haaland</t>
  </si>
  <si>
    <t>SOU</t>
  </si>
  <si>
    <t>30-32</t>
  </si>
  <si>
    <t>Howe, Howe, Howe</t>
  </si>
  <si>
    <t>BRE; lei; MUN+CRY</t>
  </si>
  <si>
    <t>WOL; avl</t>
  </si>
  <si>
    <t>33-35</t>
  </si>
  <si>
    <t>Glasner, Amorin, Amorin</t>
  </si>
  <si>
    <t>BOU+ars; bou; bre</t>
  </si>
  <si>
    <t>bou; eve</t>
  </si>
  <si>
    <t>35-37</t>
  </si>
  <si>
    <t>Glasner, Glasner, Glasner</t>
  </si>
  <si>
    <t>NFO; tot; WOL</t>
  </si>
  <si>
    <t>new</t>
  </si>
  <si>
    <t>Nuno, Nuno, Nuno</t>
  </si>
  <si>
    <t>cry; LEI; whu</t>
  </si>
  <si>
    <t>28-30</t>
  </si>
  <si>
    <t>Slot, Nuno, Nuno</t>
  </si>
  <si>
    <t>SOU; ips; MUN</t>
  </si>
  <si>
    <t>EVE</t>
  </si>
  <si>
    <t>Captain points</t>
  </si>
  <si>
    <t>Bench points (bez BB)</t>
  </si>
  <si>
    <t>https://www.fpl-data.co.uk/season_review</t>
  </si>
  <si>
    <t>Player name</t>
  </si>
  <si>
    <t>Jakub Doležal</t>
  </si>
  <si>
    <t>Jan Rosol</t>
  </si>
  <si>
    <t>Martin Čech</t>
  </si>
  <si>
    <t>Total Points</t>
  </si>
  <si>
    <t>Overall rank</t>
  </si>
  <si>
    <t>Squad Value</t>
  </si>
  <si>
    <t>Highest week rank</t>
  </si>
  <si>
    <t>Highest overall rank</t>
  </si>
  <si>
    <t>Total transfers</t>
  </si>
  <si>
    <t>Total transfer costs</t>
  </si>
  <si>
    <t>Total points on bench</t>
  </si>
  <si>
    <t>Unique players</t>
  </si>
  <si>
    <t>Unique captains</t>
  </si>
  <si>
    <t>Minutes</t>
  </si>
  <si>
    <t>Goals Scored</t>
  </si>
  <si>
    <t>Assists</t>
  </si>
  <si>
    <t>Clean Sheets</t>
  </si>
  <si>
    <t>Goals Conceeded</t>
  </si>
  <si>
    <t>Own Goals</t>
  </si>
  <si>
    <t>Penalties Saved</t>
  </si>
  <si>
    <t>Penalities Missed</t>
  </si>
  <si>
    <t>Yellow Cards</t>
  </si>
  <si>
    <t>Red Cards</t>
  </si>
  <si>
    <t>Saves</t>
  </si>
  <si>
    <t>Bonus Points</t>
  </si>
  <si>
    <t>BPS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</si>
</sst>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1">
    <font>
      <sz val="11.0"/>
      <color theme="1"/>
      <name val="Calibri"/>
      <scheme val="minor"/>
    </font>
    <font>
      <i/>
      <sz val="11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/>
    <font>
      <b/>
      <sz val="9.0"/>
      <color theme="1"/>
      <name val="Calibri"/>
    </font>
    <font>
      <color theme="1"/>
      <name val="Calibri"/>
      <scheme val="minor"/>
    </font>
    <font>
      <b/>
      <sz val="14.0"/>
      <color theme="1"/>
      <name val="Calibri"/>
    </font>
    <font>
      <sz val="11.0"/>
      <color rgb="FF000000"/>
      <name val="Calibri"/>
    </font>
    <font>
      <sz val="14.0"/>
      <color theme="1"/>
      <name val="Calibri"/>
    </font>
    <font>
      <u/>
      <sz val="11.0"/>
      <color theme="1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E598"/>
        <bgColor rgb="FFFFE598"/>
      </patternFill>
    </fill>
    <fill>
      <patternFill patternType="solid">
        <fgColor rgb="FFD8D8D8"/>
        <bgColor rgb="FFD8D8D8"/>
      </patternFill>
    </fill>
    <fill>
      <patternFill patternType="solid">
        <fgColor rgb="FFF7CAAC"/>
        <bgColor rgb="FFF7CAAC"/>
      </patternFill>
    </fill>
  </fills>
  <borders count="50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hair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hair">
        <color rgb="FF000000"/>
      </right>
      <top style="medium">
        <color rgb="FF000000"/>
      </top>
    </border>
    <border>
      <left style="hair">
        <color rgb="FF000000"/>
      </left>
      <right style="hair">
        <color rgb="FF000000"/>
      </right>
      <top style="medium">
        <color rgb="FF000000"/>
      </top>
    </border>
    <border>
      <left style="hair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</border>
    <border>
      <bottom style="hair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top style="hair">
        <color rgb="FF000000"/>
      </top>
      <bottom style="medium">
        <color rgb="FF000000"/>
      </bottom>
    </border>
    <border>
      <right style="hair">
        <color rgb="FF000000"/>
      </right>
      <bottom style="hair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hair">
        <color rgb="FF000000"/>
      </right>
      <top style="medium">
        <color rgb="FF000000"/>
      </top>
      <bottom style="hair">
        <color rgb="FF000000"/>
      </bottom>
    </border>
    <border>
      <right style="medium">
        <color rgb="FF000000"/>
      </right>
      <top style="medium">
        <color rgb="FF000000"/>
      </top>
      <bottom style="hair">
        <color rgb="FF000000"/>
      </bottom>
    </border>
    <border>
      <right style="medium">
        <color rgb="FF000000"/>
      </right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right style="medium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/>
      <top/>
      <bottom style="thin">
        <color rgb="FF000000"/>
      </bottom>
    </border>
    <border>
      <bottom style="thin">
        <color rgb="FF000000"/>
      </bottom>
    </border>
    <border>
      <left/>
      <top/>
      <bottom style="thin">
        <color rgb="FF000000"/>
      </bottom>
    </border>
    <border>
      <right style="thin">
        <color rgb="FF000000"/>
      </right>
    </border>
    <border>
      <bottom style="thin">
        <color rgb="FF9CC2E5"/>
      </bottom>
    </border>
  </borders>
  <cellStyleXfs count="1">
    <xf borderId="0" fillId="0" fontId="0" numFmtId="0" applyAlignment="1" applyFont="1"/>
  </cellStyleXfs>
  <cellXfs count="1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horizontal="right" shrinkToFit="0" wrapText="1"/>
    </xf>
    <xf borderId="1" fillId="0" fontId="3" numFmtId="0" xfId="0" applyAlignment="1" applyBorder="1" applyFont="1">
      <alignment horizontal="right" shrinkToFit="0" wrapText="1"/>
    </xf>
    <xf borderId="2" fillId="0" fontId="4" numFmtId="0" xfId="0" applyBorder="1" applyFont="1"/>
    <xf borderId="3" fillId="0" fontId="3" numFmtId="0" xfId="0" applyAlignment="1" applyBorder="1" applyFont="1">
      <alignment horizontal="right" shrinkToFit="0" wrapText="1"/>
    </xf>
    <xf borderId="4" fillId="0" fontId="3" numFmtId="0" xfId="0" applyAlignment="1" applyBorder="1" applyFont="1">
      <alignment horizontal="right" shrinkToFit="0" wrapText="1"/>
    </xf>
    <xf borderId="5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shrinkToFit="0" wrapText="1"/>
    </xf>
    <xf borderId="7" fillId="0" fontId="3" numFmtId="0" xfId="0" applyAlignment="1" applyBorder="1" applyFont="1">
      <alignment horizontal="center" shrinkToFit="0" wrapText="1"/>
    </xf>
    <xf borderId="8" fillId="0" fontId="3" numFmtId="0" xfId="0" applyAlignment="1" applyBorder="1" applyFont="1">
      <alignment horizontal="center" shrinkToFit="0" wrapText="1"/>
    </xf>
    <xf borderId="5" fillId="0" fontId="3" numFmtId="0" xfId="0" applyAlignment="1" applyBorder="1" applyFont="1">
      <alignment horizontal="center" shrinkToFit="0" wrapText="1"/>
    </xf>
    <xf borderId="3" fillId="0" fontId="3" numFmtId="0" xfId="0" applyAlignment="1" applyBorder="1" applyFont="1">
      <alignment horizontal="center" shrinkToFit="0" wrapText="1"/>
    </xf>
    <xf borderId="3" fillId="0" fontId="5" numFmtId="0" xfId="0" applyAlignment="1" applyBorder="1" applyFont="1">
      <alignment horizontal="center" readingOrder="0" shrinkToFit="0" vertical="center" wrapText="1"/>
    </xf>
    <xf borderId="3" fillId="0" fontId="5" numFmtId="0" xfId="0" applyAlignment="1" applyBorder="1" applyFont="1">
      <alignment horizontal="center" shrinkToFit="0" vertical="center" wrapText="1"/>
    </xf>
    <xf borderId="9" fillId="0" fontId="3" numFmtId="0" xfId="0" applyAlignment="1" applyBorder="1" applyFont="1">
      <alignment horizontal="center" shrinkToFit="0" wrapText="1"/>
    </xf>
    <xf borderId="4" fillId="0" fontId="3" numFmtId="0" xfId="0" applyAlignment="1" applyBorder="1" applyFont="1">
      <alignment horizontal="center" shrinkToFit="0" wrapText="1"/>
    </xf>
    <xf borderId="10" fillId="0" fontId="2" numFmtId="0" xfId="0" applyBorder="1" applyFont="1"/>
    <xf borderId="11" fillId="0" fontId="2" numFmtId="0" xfId="0" applyBorder="1" applyFont="1"/>
    <xf borderId="12" fillId="0" fontId="2" numFmtId="3" xfId="0" applyBorder="1" applyFont="1" applyNumberFormat="1"/>
    <xf borderId="11" fillId="0" fontId="2" numFmtId="3" xfId="0" applyBorder="1" applyFont="1" applyNumberFormat="1"/>
    <xf borderId="11" fillId="0" fontId="2" numFmtId="2" xfId="0" applyBorder="1" applyFont="1" applyNumberFormat="1"/>
    <xf borderId="11" fillId="0" fontId="2" numFmtId="164" xfId="0" applyBorder="1" applyFont="1" applyNumberFormat="1"/>
    <xf borderId="13" fillId="0" fontId="2" numFmtId="3" xfId="0" applyBorder="1" applyFont="1" applyNumberFormat="1"/>
    <xf borderId="0" fillId="0" fontId="2" numFmtId="3" xfId="0" applyFont="1" applyNumberFormat="1"/>
    <xf borderId="10" fillId="0" fontId="2" numFmtId="3" xfId="0" applyBorder="1" applyFont="1" applyNumberFormat="1"/>
    <xf borderId="14" fillId="0" fontId="2" numFmtId="3" xfId="0" applyBorder="1" applyFont="1" applyNumberFormat="1"/>
    <xf borderId="15" fillId="0" fontId="2" numFmtId="3" xfId="0" applyBorder="1" applyFont="1" applyNumberFormat="1"/>
    <xf borderId="16" fillId="0" fontId="2" numFmtId="3" xfId="0" applyBorder="1" applyFont="1" applyNumberFormat="1"/>
    <xf borderId="16" fillId="0" fontId="2" numFmtId="3" xfId="0" applyAlignment="1" applyBorder="1" applyFont="1" applyNumberFormat="1">
      <alignment readingOrder="0"/>
    </xf>
    <xf borderId="17" fillId="0" fontId="2" numFmtId="3" xfId="0" applyAlignment="1" applyBorder="1" applyFont="1" applyNumberFormat="1">
      <alignment readingOrder="0"/>
    </xf>
    <xf borderId="15" fillId="0" fontId="2" numFmtId="3" xfId="0" applyAlignment="1" applyBorder="1" applyFont="1" applyNumberFormat="1">
      <alignment readingOrder="0"/>
    </xf>
    <xf borderId="11" fillId="0" fontId="2" numFmtId="0" xfId="0" applyAlignment="1" applyBorder="1" applyFont="1">
      <alignment readingOrder="0"/>
    </xf>
    <xf borderId="18" fillId="0" fontId="2" numFmtId="3" xfId="0" applyBorder="1" applyFont="1" applyNumberFormat="1"/>
    <xf borderId="19" fillId="0" fontId="2" numFmtId="0" xfId="0" applyBorder="1" applyFont="1"/>
    <xf borderId="12" fillId="0" fontId="2" numFmtId="0" xfId="0" applyBorder="1" applyFont="1"/>
    <xf borderId="11" fillId="0" fontId="2" numFmtId="3" xfId="0" applyAlignment="1" applyBorder="1" applyFont="1" applyNumberFormat="1">
      <alignment readingOrder="0"/>
    </xf>
    <xf borderId="12" fillId="0" fontId="2" numFmtId="2" xfId="0" applyBorder="1" applyFont="1" applyNumberFormat="1"/>
    <xf borderId="12" fillId="0" fontId="2" numFmtId="164" xfId="0" applyBorder="1" applyFont="1" applyNumberFormat="1"/>
    <xf borderId="19" fillId="0" fontId="2" numFmtId="3" xfId="0" applyBorder="1" applyFont="1" applyNumberFormat="1"/>
    <xf borderId="12" fillId="0" fontId="2" numFmtId="3" xfId="0" applyAlignment="1" applyBorder="1" applyFont="1" applyNumberFormat="1">
      <alignment readingOrder="0"/>
    </xf>
    <xf borderId="14" fillId="0" fontId="2" numFmtId="3" xfId="0" applyAlignment="1" applyBorder="1" applyFont="1" applyNumberFormat="1">
      <alignment readingOrder="0"/>
    </xf>
    <xf borderId="19" fillId="0" fontId="2" numFmtId="3" xfId="0" applyAlignment="1" applyBorder="1" applyFont="1" applyNumberFormat="1">
      <alignment readingOrder="0"/>
    </xf>
    <xf borderId="12" fillId="0" fontId="2" numFmtId="0" xfId="0" applyAlignment="1" applyBorder="1" applyFont="1">
      <alignment readingOrder="0"/>
    </xf>
    <xf borderId="19" fillId="0" fontId="2" numFmtId="3" xfId="0" applyAlignment="1" applyBorder="1" applyFont="1" applyNumberFormat="1">
      <alignment horizontal="right"/>
    </xf>
    <xf borderId="20" fillId="0" fontId="2" numFmtId="3" xfId="0" applyAlignment="1" applyBorder="1" applyFont="1" applyNumberFormat="1">
      <alignment horizontal="right"/>
    </xf>
    <xf borderId="14" fillId="0" fontId="2" numFmtId="3" xfId="0" applyAlignment="1" applyBorder="1" applyFont="1" applyNumberFormat="1">
      <alignment horizontal="right"/>
    </xf>
    <xf borderId="20" fillId="0" fontId="2" numFmtId="3" xfId="0" applyBorder="1" applyFont="1" applyNumberFormat="1"/>
    <xf borderId="0" fillId="0" fontId="6" numFmtId="0" xfId="0" applyFont="1"/>
    <xf borderId="21" fillId="0" fontId="2" numFmtId="0" xfId="0" applyBorder="1" applyFont="1"/>
    <xf borderId="22" fillId="0" fontId="2" numFmtId="0" xfId="0" applyBorder="1" applyFont="1"/>
    <xf borderId="22" fillId="0" fontId="2" numFmtId="3" xfId="0" applyBorder="1" applyFont="1" applyNumberFormat="1"/>
    <xf borderId="22" fillId="0" fontId="2" numFmtId="2" xfId="0" applyBorder="1" applyFont="1" applyNumberFormat="1"/>
    <xf borderId="22" fillId="0" fontId="2" numFmtId="164" xfId="0" applyBorder="1" applyFont="1" applyNumberFormat="1"/>
    <xf borderId="23" fillId="0" fontId="2" numFmtId="3" xfId="0" applyBorder="1" applyFont="1" applyNumberFormat="1"/>
    <xf borderId="21" fillId="0" fontId="2" numFmtId="3" xfId="0" applyBorder="1" applyFont="1" applyNumberFormat="1"/>
    <xf borderId="22" fillId="0" fontId="2" numFmtId="3" xfId="0" applyAlignment="1" applyBorder="1" applyFont="1" applyNumberFormat="1">
      <alignment readingOrder="0"/>
    </xf>
    <xf borderId="23" fillId="0" fontId="2" numFmtId="3" xfId="0" applyAlignment="1" applyBorder="1" applyFont="1" applyNumberFormat="1">
      <alignment readingOrder="0"/>
    </xf>
    <xf borderId="21" fillId="0" fontId="2" numFmtId="3" xfId="0" applyAlignment="1" applyBorder="1" applyFont="1" applyNumberFormat="1">
      <alignment readingOrder="0"/>
    </xf>
    <xf borderId="22" fillId="0" fontId="2" numFmtId="0" xfId="0" applyAlignment="1" applyBorder="1" applyFont="1">
      <alignment readingOrder="0"/>
    </xf>
    <xf borderId="21" fillId="0" fontId="2" numFmtId="3" xfId="0" applyAlignment="1" applyBorder="1" applyFont="1" applyNumberFormat="1">
      <alignment horizontal="right"/>
    </xf>
    <xf borderId="24" fillId="0" fontId="2" numFmtId="3" xfId="0" applyAlignment="1" applyBorder="1" applyFont="1" applyNumberFormat="1">
      <alignment horizontal="right"/>
    </xf>
    <xf borderId="23" fillId="0" fontId="2" numFmtId="3" xfId="0" applyAlignment="1" applyBorder="1" applyFont="1" applyNumberFormat="1">
      <alignment horizontal="right"/>
    </xf>
    <xf borderId="25" fillId="0" fontId="2" numFmtId="3" xfId="0" applyBorder="1" applyFont="1" applyNumberFormat="1"/>
    <xf borderId="14" fillId="0" fontId="2" numFmtId="0" xfId="0" applyBorder="1" applyFont="1"/>
    <xf borderId="0" fillId="0" fontId="1" numFmtId="0" xfId="0" applyFont="1"/>
    <xf borderId="5" fillId="0" fontId="1" numFmtId="0" xfId="0" applyBorder="1" applyFont="1"/>
    <xf borderId="3" fillId="0" fontId="1" numFmtId="0" xfId="0" applyBorder="1" applyFont="1"/>
    <xf borderId="3" fillId="0" fontId="2" numFmtId="3" xfId="0" applyBorder="1" applyFont="1" applyNumberFormat="1"/>
    <xf borderId="3" fillId="0" fontId="2" numFmtId="0" xfId="0" applyBorder="1" applyFont="1"/>
    <xf borderId="3" fillId="0" fontId="2" numFmtId="2" xfId="0" applyBorder="1" applyFont="1" applyNumberFormat="1"/>
    <xf borderId="3" fillId="0" fontId="2" numFmtId="164" xfId="0" applyBorder="1" applyFont="1" applyNumberFormat="1"/>
    <xf borderId="4" fillId="0" fontId="2" numFmtId="0" xfId="0" applyBorder="1" applyFont="1"/>
    <xf borderId="5" fillId="0" fontId="2" numFmtId="0" xfId="0" applyBorder="1" applyFont="1"/>
    <xf borderId="3" fillId="0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9" fillId="0" fontId="1" numFmtId="0" xfId="0" applyBorder="1" applyFont="1"/>
    <xf borderId="4" fillId="0" fontId="1" numFmtId="0" xfId="0" applyBorder="1" applyFont="1"/>
    <xf borderId="0" fillId="0" fontId="2" numFmtId="2" xfId="0" applyFont="1" applyNumberFormat="1"/>
    <xf borderId="0" fillId="0" fontId="2" numFmtId="164" xfId="0" applyFont="1" applyNumberFormat="1"/>
    <xf borderId="26" fillId="0" fontId="2" numFmtId="0" xfId="0" applyAlignment="1" applyBorder="1" applyFont="1">
      <alignment horizontal="center"/>
    </xf>
    <xf borderId="27" fillId="0" fontId="4" numFmtId="0" xfId="0" applyBorder="1" applyFont="1"/>
    <xf borderId="28" fillId="0" fontId="4" numFmtId="0" xfId="0" applyBorder="1" applyFont="1"/>
    <xf borderId="15" fillId="0" fontId="2" numFmtId="1" xfId="0" applyBorder="1" applyFont="1" applyNumberFormat="1"/>
    <xf borderId="16" fillId="0" fontId="2" numFmtId="1" xfId="0" applyBorder="1" applyFont="1" applyNumberFormat="1"/>
    <xf borderId="17" fillId="0" fontId="2" numFmtId="1" xfId="0" applyBorder="1" applyFont="1" applyNumberFormat="1"/>
    <xf borderId="29" fillId="0" fontId="2" numFmtId="0" xfId="0" applyAlignment="1" applyBorder="1" applyFont="1">
      <alignment horizontal="center"/>
    </xf>
    <xf borderId="30" fillId="0" fontId="4" numFmtId="0" xfId="0" applyBorder="1" applyFont="1"/>
    <xf borderId="31" fillId="0" fontId="4" numFmtId="0" xfId="0" applyBorder="1" applyFont="1"/>
    <xf borderId="12" fillId="0" fontId="2" numFmtId="1" xfId="0" applyBorder="1" applyFont="1" applyNumberFormat="1"/>
    <xf borderId="14" fillId="0" fontId="2" numFmtId="1" xfId="0" applyBorder="1" applyFont="1" applyNumberFormat="1"/>
    <xf borderId="32" fillId="0" fontId="2" numFmtId="0" xfId="0" applyAlignment="1" applyBorder="1" applyFont="1">
      <alignment horizontal="center"/>
    </xf>
    <xf borderId="33" fillId="0" fontId="4" numFmtId="0" xfId="0" applyBorder="1" applyFont="1"/>
    <xf borderId="34" fillId="0" fontId="4" numFmtId="0" xfId="0" applyBorder="1" applyFont="1"/>
    <xf borderId="22" fillId="0" fontId="2" numFmtId="1" xfId="0" applyBorder="1" applyFont="1" applyNumberFormat="1"/>
    <xf borderId="23" fillId="0" fontId="2" numFmtId="1" xfId="0" applyBorder="1" applyFont="1" applyNumberFormat="1"/>
    <xf borderId="3" fillId="0" fontId="3" numFmtId="0" xfId="0" applyAlignment="1" applyBorder="1" applyFont="1">
      <alignment horizontal="center" shrinkToFit="0" vertical="center" wrapText="1"/>
    </xf>
    <xf borderId="35" fillId="0" fontId="2" numFmtId="3" xfId="0" applyBorder="1" applyFont="1" applyNumberFormat="1"/>
    <xf borderId="36" fillId="0" fontId="2" numFmtId="3" xfId="0" applyBorder="1" applyFont="1" applyNumberFormat="1"/>
    <xf borderId="15" fillId="0" fontId="2" numFmtId="0" xfId="0" applyBorder="1" applyFont="1"/>
    <xf borderId="16" fillId="0" fontId="2" numFmtId="0" xfId="0" applyBorder="1" applyFont="1"/>
    <xf borderId="17" fillId="0" fontId="2" numFmtId="0" xfId="0" applyBorder="1" applyFont="1"/>
    <xf borderId="37" fillId="0" fontId="2" numFmtId="3" xfId="0" applyBorder="1" applyFont="1" applyNumberFormat="1"/>
    <xf borderId="38" fillId="0" fontId="2" numFmtId="3" xfId="0" applyBorder="1" applyFont="1" applyNumberFormat="1"/>
    <xf borderId="39" fillId="0" fontId="2" numFmtId="3" xfId="0" applyBorder="1" applyFont="1" applyNumberFormat="1"/>
    <xf borderId="40" fillId="0" fontId="2" numFmtId="3" xfId="0" applyBorder="1" applyFont="1" applyNumberFormat="1"/>
    <xf borderId="13" fillId="0" fontId="2" numFmtId="0" xfId="0" applyBorder="1" applyFont="1"/>
    <xf borderId="41" fillId="0" fontId="2" numFmtId="3" xfId="0" applyBorder="1" applyFont="1" applyNumberFormat="1"/>
    <xf borderId="42" fillId="0" fontId="2" numFmtId="0" xfId="0" applyBorder="1" applyFont="1"/>
    <xf borderId="23" fillId="0" fontId="2" numFmtId="0" xfId="0" applyBorder="1" applyFont="1"/>
    <xf borderId="24" fillId="0" fontId="2" numFmtId="3" xfId="0" applyBorder="1" applyFont="1" applyNumberFormat="1"/>
    <xf borderId="15" fillId="0" fontId="2" numFmtId="164" xfId="0" applyBorder="1" applyFont="1" applyNumberFormat="1"/>
    <xf borderId="16" fillId="0" fontId="2" numFmtId="164" xfId="0" applyBorder="1" applyFont="1" applyNumberFormat="1"/>
    <xf borderId="17" fillId="0" fontId="2" numFmtId="164" xfId="0" applyBorder="1" applyFont="1" applyNumberFormat="1"/>
    <xf borderId="0" fillId="0" fontId="7" numFmtId="0" xfId="0" applyFont="1"/>
    <xf borderId="0" fillId="0" fontId="7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right"/>
    </xf>
    <xf borderId="43" fillId="0" fontId="2" numFmtId="0" xfId="0" applyBorder="1" applyFont="1"/>
    <xf borderId="44" fillId="2" fontId="3" numFmtId="0" xfId="0" applyAlignment="1" applyBorder="1" applyFill="1" applyFont="1">
      <alignment horizontal="center"/>
    </xf>
    <xf borderId="45" fillId="0" fontId="4" numFmtId="0" xfId="0" applyBorder="1" applyFont="1"/>
    <xf borderId="46" fillId="0" fontId="3" numFmtId="0" xfId="0" applyAlignment="1" applyBorder="1" applyFont="1">
      <alignment horizontal="center"/>
    </xf>
    <xf borderId="47" fillId="3" fontId="3" numFmtId="0" xfId="0" applyAlignment="1" applyBorder="1" applyFill="1" applyFont="1">
      <alignment horizontal="center"/>
    </xf>
    <xf borderId="47" fillId="4" fontId="3" numFmtId="0" xfId="0" applyAlignment="1" applyBorder="1" applyFill="1" applyFont="1">
      <alignment horizontal="center"/>
    </xf>
    <xf borderId="0" fillId="0" fontId="6" numFmtId="0" xfId="0" applyFont="1"/>
    <xf borderId="48" fillId="0" fontId="3" numFmtId="0" xfId="0" applyBorder="1" applyFont="1"/>
    <xf borderId="0" fillId="0" fontId="8" numFmtId="0" xfId="0" applyFont="1"/>
    <xf borderId="0" fillId="0" fontId="9" numFmtId="0" xfId="0" applyFont="1"/>
    <xf borderId="0" fillId="0" fontId="3" numFmtId="0" xfId="0" applyFont="1"/>
    <xf borderId="49" fillId="0" fontId="3" numFmtId="0" xfId="0" applyBorder="1" applyFont="1"/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0" fontId="10" numFmtId="0" xfId="0" applyFont="1"/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1">
    <dxf>
      <font>
        <color rgb="FF006100"/>
      </font>
      <fill>
        <patternFill patternType="solid">
          <fgColor rgb="FFC6EFCE"/>
          <bgColor rgb="FFC6EFCE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pl-data.co.uk/season_review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4.0" ySplit="3.0" topLeftCell="O4" activePane="bottomRight" state="frozen"/>
      <selection activeCell="O1" sqref="O1" pane="topRight"/>
      <selection activeCell="A4" sqref="A4" pane="bottomLeft"/>
      <selection activeCell="O4" sqref="O4" pane="bottomRight"/>
    </sheetView>
  </sheetViews>
  <sheetFormatPr customHeight="1" defaultColWidth="14.43" defaultRowHeight="15.0" outlineLevelCol="1"/>
  <cols>
    <col customWidth="1" min="1" max="1" width="4.29"/>
    <col customWidth="1" min="2" max="2" width="3.43"/>
    <col customWidth="1" min="3" max="3" width="17.43"/>
    <col customWidth="1" min="4" max="4" width="6.43"/>
    <col customWidth="1" min="5" max="5" width="7.71"/>
    <col customWidth="1" min="6" max="7" width="7.14"/>
    <col customWidth="1" min="8" max="10" width="5.0"/>
    <col customWidth="1" min="11" max="11" width="0.71"/>
    <col customWidth="1" min="12" max="13" width="6.29"/>
    <col customWidth="1" min="14" max="14" width="0.71"/>
    <col customWidth="1" min="15" max="52" width="4.43"/>
    <col customWidth="1" min="53" max="53" width="0.86"/>
    <col customWidth="1" min="54" max="56" width="7.29"/>
    <col customWidth="1" min="57" max="57" width="7.29" outlineLevel="1"/>
    <col customWidth="1" min="58" max="59" width="7.29"/>
    <col customWidth="1" min="60" max="60" width="0.86"/>
    <col customWidth="1" min="61" max="63" width="7.29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ht="15.0" hidden="1" customHeight="1">
      <c r="E2" s="2"/>
      <c r="K2" s="2"/>
      <c r="L2" s="2"/>
      <c r="M2" s="2"/>
      <c r="N2" s="1"/>
      <c r="O2" s="2" t="s">
        <v>0</v>
      </c>
      <c r="P2" s="2" t="s">
        <v>0</v>
      </c>
      <c r="Q2" s="2" t="s">
        <v>0</v>
      </c>
      <c r="R2" s="2" t="s">
        <v>1</v>
      </c>
      <c r="S2" s="2" t="s">
        <v>1</v>
      </c>
      <c r="T2" s="2" t="s">
        <v>1</v>
      </c>
      <c r="U2" s="2" t="s">
        <v>2</v>
      </c>
      <c r="V2" s="2" t="s">
        <v>2</v>
      </c>
      <c r="W2" s="2" t="s">
        <v>2</v>
      </c>
      <c r="X2" s="2" t="s">
        <v>3</v>
      </c>
      <c r="Y2" s="2" t="s">
        <v>3</v>
      </c>
      <c r="Z2" s="2" t="s">
        <v>3</v>
      </c>
      <c r="AA2" s="2" t="s">
        <v>3</v>
      </c>
      <c r="AB2" s="2" t="s">
        <v>4</v>
      </c>
      <c r="AC2" s="2" t="s">
        <v>4</v>
      </c>
      <c r="AD2" s="2" t="s">
        <v>4</v>
      </c>
      <c r="AE2" s="2" t="s">
        <v>4</v>
      </c>
      <c r="AF2" s="2" t="s">
        <v>4</v>
      </c>
      <c r="AG2" s="2" t="s">
        <v>4</v>
      </c>
      <c r="AH2" s="2" t="s">
        <v>5</v>
      </c>
      <c r="AI2" s="2" t="s">
        <v>5</v>
      </c>
      <c r="AJ2" s="2" t="s">
        <v>5</v>
      </c>
      <c r="AK2" s="2" t="s">
        <v>5</v>
      </c>
      <c r="AL2" s="2" t="s">
        <v>6</v>
      </c>
      <c r="AM2" s="2" t="s">
        <v>6</v>
      </c>
      <c r="AN2" s="2" t="s">
        <v>6</v>
      </c>
      <c r="AO2" s="2" t="s">
        <v>6</v>
      </c>
      <c r="AP2" s="2" t="s">
        <v>7</v>
      </c>
      <c r="AQ2" s="2" t="s">
        <v>7</v>
      </c>
      <c r="AR2" s="2" t="s">
        <v>8</v>
      </c>
      <c r="AS2" s="2" t="s">
        <v>8</v>
      </c>
      <c r="AT2" s="2" t="s">
        <v>8</v>
      </c>
      <c r="AU2" s="2" t="s">
        <v>8</v>
      </c>
      <c r="AV2" s="2" t="s">
        <v>8</v>
      </c>
      <c r="AW2" s="2" t="s">
        <v>9</v>
      </c>
      <c r="AX2" s="2" t="s">
        <v>9</v>
      </c>
      <c r="AY2" s="2" t="s">
        <v>9</v>
      </c>
      <c r="AZ2" s="2" t="s">
        <v>9</v>
      </c>
      <c r="BA2" s="1"/>
      <c r="BD2" s="2"/>
      <c r="BF2" s="2"/>
      <c r="BH2" s="1"/>
      <c r="BI2" s="1"/>
      <c r="BJ2" s="1"/>
    </row>
    <row r="3" ht="28.5" customHeight="1">
      <c r="A3" s="3"/>
      <c r="B3" s="4"/>
      <c r="C3" s="5"/>
      <c r="D3" s="6" t="s">
        <v>10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  <c r="J3" s="7" t="s">
        <v>16</v>
      </c>
      <c r="K3" s="3"/>
      <c r="L3" s="8" t="s">
        <v>17</v>
      </c>
      <c r="M3" s="9" t="s">
        <v>18</v>
      </c>
      <c r="N3" s="1"/>
      <c r="O3" s="10" t="s">
        <v>19</v>
      </c>
      <c r="P3" s="11" t="s">
        <v>20</v>
      </c>
      <c r="Q3" s="11" t="s">
        <v>21</v>
      </c>
      <c r="R3" s="11" t="s">
        <v>22</v>
      </c>
      <c r="S3" s="11" t="s">
        <v>23</v>
      </c>
      <c r="T3" s="11" t="s">
        <v>24</v>
      </c>
      <c r="U3" s="11" t="s">
        <v>25</v>
      </c>
      <c r="V3" s="11" t="s">
        <v>26</v>
      </c>
      <c r="W3" s="11" t="s">
        <v>27</v>
      </c>
      <c r="X3" s="11" t="s">
        <v>28</v>
      </c>
      <c r="Y3" s="11" t="s">
        <v>29</v>
      </c>
      <c r="Z3" s="11" t="s">
        <v>30</v>
      </c>
      <c r="AA3" s="11" t="s">
        <v>31</v>
      </c>
      <c r="AB3" s="11" t="s">
        <v>32</v>
      </c>
      <c r="AC3" s="11" t="s">
        <v>33</v>
      </c>
      <c r="AD3" s="11" t="s">
        <v>34</v>
      </c>
      <c r="AE3" s="11" t="s">
        <v>35</v>
      </c>
      <c r="AF3" s="11" t="s">
        <v>36</v>
      </c>
      <c r="AG3" s="11" t="s">
        <v>37</v>
      </c>
      <c r="AH3" s="11" t="s">
        <v>38</v>
      </c>
      <c r="AI3" s="11" t="s">
        <v>39</v>
      </c>
      <c r="AJ3" s="11" t="s">
        <v>40</v>
      </c>
      <c r="AK3" s="11" t="s">
        <v>41</v>
      </c>
      <c r="AL3" s="11" t="s">
        <v>42</v>
      </c>
      <c r="AM3" s="11" t="s">
        <v>43</v>
      </c>
      <c r="AN3" s="11" t="s">
        <v>44</v>
      </c>
      <c r="AO3" s="11" t="s">
        <v>45</v>
      </c>
      <c r="AP3" s="11" t="s">
        <v>46</v>
      </c>
      <c r="AQ3" s="11" t="s">
        <v>47</v>
      </c>
      <c r="AR3" s="11" t="s">
        <v>48</v>
      </c>
      <c r="AS3" s="11" t="s">
        <v>49</v>
      </c>
      <c r="AT3" s="11" t="s">
        <v>50</v>
      </c>
      <c r="AU3" s="11" t="s">
        <v>51</v>
      </c>
      <c r="AV3" s="11" t="s">
        <v>52</v>
      </c>
      <c r="AW3" s="11" t="s">
        <v>53</v>
      </c>
      <c r="AX3" s="11" t="s">
        <v>54</v>
      </c>
      <c r="AY3" s="11" t="s">
        <v>55</v>
      </c>
      <c r="AZ3" s="12" t="s">
        <v>56</v>
      </c>
      <c r="BA3" s="1"/>
      <c r="BB3" s="13" t="s">
        <v>57</v>
      </c>
      <c r="BC3" s="14" t="s">
        <v>58</v>
      </c>
      <c r="BD3" s="15" t="s">
        <v>59</v>
      </c>
      <c r="BE3" s="16" t="s">
        <v>60</v>
      </c>
      <c r="BF3" s="16" t="s">
        <v>61</v>
      </c>
      <c r="BG3" s="9" t="s">
        <v>62</v>
      </c>
      <c r="BH3" s="1"/>
      <c r="BI3" s="13" t="s">
        <v>63</v>
      </c>
      <c r="BJ3" s="17" t="s">
        <v>63</v>
      </c>
      <c r="BK3" s="18" t="s">
        <v>63</v>
      </c>
    </row>
    <row r="4" ht="14.25" customHeight="1">
      <c r="B4" s="19">
        <f t="shared" ref="B4:B13" si="1">_xlfn.RANK.EQ(D4,$D$4:$D$14)</f>
        <v>1</v>
      </c>
      <c r="C4" s="20" t="s">
        <v>64</v>
      </c>
      <c r="D4" s="21">
        <f t="shared" ref="D4:D13" si="2">SUM(O4:AZ4)-E4</f>
        <v>2457</v>
      </c>
      <c r="E4" s="22">
        <v>0.0</v>
      </c>
      <c r="F4" s="23">
        <f t="shared" ref="F4:F13" si="3">AVERAGE(O4:AZ4)</f>
        <v>64.65789474</v>
      </c>
      <c r="G4" s="22">
        <f t="shared" ref="G4:G13" si="4">SUM(OFFSET(O4,0,COUNTA(O4:AZ4)-5,1,5):AZ4)</f>
        <v>307</v>
      </c>
      <c r="H4" s="24">
        <f t="shared" ref="H4:H13" si="5">_xlfn.STDEV.P(O4:AZ4)</f>
        <v>17.5877893</v>
      </c>
      <c r="I4" s="22">
        <f t="shared" ref="I4:I13" si="6">MAX(O4:AZ4)</f>
        <v>118</v>
      </c>
      <c r="J4" s="25">
        <f t="shared" ref="J4:J13" si="7">MIN(O4:AZ4)</f>
        <v>29</v>
      </c>
      <c r="K4" s="26"/>
      <c r="L4" s="27">
        <f t="shared" ref="L4:L13" si="8">SUM(O4:AG4)</f>
        <v>1200</v>
      </c>
      <c r="M4" s="28">
        <f t="shared" ref="M4:M13" si="9">SUM(AH4:AZ4)</f>
        <v>1257</v>
      </c>
      <c r="N4" s="1"/>
      <c r="O4" s="29">
        <v>63.0</v>
      </c>
      <c r="P4" s="30">
        <v>73.0</v>
      </c>
      <c r="Q4" s="30">
        <v>82.0</v>
      </c>
      <c r="R4" s="30">
        <v>60.0</v>
      </c>
      <c r="S4" s="30">
        <v>73.0</v>
      </c>
      <c r="T4" s="30">
        <v>47.0</v>
      </c>
      <c r="U4" s="31">
        <v>50.0</v>
      </c>
      <c r="V4" s="31">
        <v>41.0</v>
      </c>
      <c r="W4" s="31">
        <v>74.0</v>
      </c>
      <c r="X4" s="31">
        <v>49.0</v>
      </c>
      <c r="Y4" s="31">
        <v>63.0</v>
      </c>
      <c r="Z4" s="31">
        <v>53.0</v>
      </c>
      <c r="AA4" s="31">
        <v>81.0</v>
      </c>
      <c r="AB4" s="31">
        <v>74.0</v>
      </c>
      <c r="AC4" s="31">
        <v>46.0</v>
      </c>
      <c r="AD4" s="31">
        <v>46.0</v>
      </c>
      <c r="AE4" s="31">
        <v>83.0</v>
      </c>
      <c r="AF4" s="31">
        <v>55.0</v>
      </c>
      <c r="AG4" s="31">
        <v>87.0</v>
      </c>
      <c r="AH4" s="31">
        <v>62.0</v>
      </c>
      <c r="AI4" s="31">
        <v>80.0</v>
      </c>
      <c r="AJ4" s="31">
        <v>48.0</v>
      </c>
      <c r="AK4" s="31">
        <v>50.0</v>
      </c>
      <c r="AL4" s="31">
        <v>118.0</v>
      </c>
      <c r="AM4" s="31">
        <v>89.0</v>
      </c>
      <c r="AN4" s="31">
        <v>82.0</v>
      </c>
      <c r="AO4" s="31">
        <v>65.0</v>
      </c>
      <c r="AP4" s="31">
        <v>65.0</v>
      </c>
      <c r="AQ4" s="31">
        <v>29.0</v>
      </c>
      <c r="AR4" s="31">
        <v>58.0</v>
      </c>
      <c r="AS4" s="31">
        <v>46.0</v>
      </c>
      <c r="AT4" s="31">
        <v>87.0</v>
      </c>
      <c r="AU4" s="31">
        <v>71.0</v>
      </c>
      <c r="AV4" s="31">
        <v>71.0</v>
      </c>
      <c r="AW4" s="31">
        <v>42.0</v>
      </c>
      <c r="AX4" s="31">
        <v>46.0</v>
      </c>
      <c r="AY4" s="31">
        <v>74.0</v>
      </c>
      <c r="AZ4" s="32">
        <v>74.0</v>
      </c>
      <c r="BA4" s="1"/>
      <c r="BB4" s="33" t="s">
        <v>50</v>
      </c>
      <c r="BC4" s="31" t="s">
        <v>51</v>
      </c>
      <c r="BD4" s="31" t="s">
        <v>42</v>
      </c>
      <c r="BE4" s="30" t="s">
        <v>34</v>
      </c>
      <c r="BF4" s="34" t="s">
        <v>49</v>
      </c>
      <c r="BG4" s="32" t="s">
        <v>65</v>
      </c>
      <c r="BH4" s="1"/>
      <c r="BI4" s="27" t="s">
        <v>66</v>
      </c>
      <c r="BJ4" s="35">
        <v>2478.0</v>
      </c>
      <c r="BK4" s="25">
        <v>2499.0</v>
      </c>
    </row>
    <row r="5" ht="14.25" customHeight="1">
      <c r="A5" s="2"/>
      <c r="B5" s="36">
        <f t="shared" si="1"/>
        <v>2</v>
      </c>
      <c r="C5" s="37" t="s">
        <v>67</v>
      </c>
      <c r="D5" s="21">
        <f t="shared" si="2"/>
        <v>2411</v>
      </c>
      <c r="E5" s="38">
        <v>4.0</v>
      </c>
      <c r="F5" s="39">
        <f t="shared" si="3"/>
        <v>63.55263158</v>
      </c>
      <c r="G5" s="21">
        <f t="shared" si="4"/>
        <v>261</v>
      </c>
      <c r="H5" s="40">
        <f t="shared" si="5"/>
        <v>17.33068069</v>
      </c>
      <c r="I5" s="21">
        <f t="shared" si="6"/>
        <v>110</v>
      </c>
      <c r="J5" s="28">
        <f t="shared" si="7"/>
        <v>26</v>
      </c>
      <c r="K5" s="26"/>
      <c r="L5" s="41">
        <f t="shared" si="8"/>
        <v>1163</v>
      </c>
      <c r="M5" s="28">
        <f t="shared" si="9"/>
        <v>1252</v>
      </c>
      <c r="N5" s="1"/>
      <c r="O5" s="41">
        <v>94.0</v>
      </c>
      <c r="P5" s="21">
        <v>76.0</v>
      </c>
      <c r="Q5" s="21">
        <v>52.0</v>
      </c>
      <c r="R5" s="21">
        <v>26.0</v>
      </c>
      <c r="S5" s="21">
        <v>49.0</v>
      </c>
      <c r="T5" s="21">
        <v>106.0</v>
      </c>
      <c r="U5" s="42">
        <v>46.0</v>
      </c>
      <c r="V5" s="42">
        <v>59.0</v>
      </c>
      <c r="W5" s="42">
        <v>73.0</v>
      </c>
      <c r="X5" s="42">
        <v>54.0</v>
      </c>
      <c r="Y5" s="42">
        <v>79.0</v>
      </c>
      <c r="Z5" s="42">
        <v>58.0</v>
      </c>
      <c r="AA5" s="42">
        <v>65.0</v>
      </c>
      <c r="AB5" s="42">
        <v>52.0</v>
      </c>
      <c r="AC5" s="42">
        <v>67.0</v>
      </c>
      <c r="AD5" s="42">
        <v>46.0</v>
      </c>
      <c r="AE5" s="42">
        <v>50.0</v>
      </c>
      <c r="AF5" s="42">
        <v>63.0</v>
      </c>
      <c r="AG5" s="42">
        <v>48.0</v>
      </c>
      <c r="AH5" s="42">
        <v>76.0</v>
      </c>
      <c r="AI5" s="42">
        <v>72.0</v>
      </c>
      <c r="AJ5" s="42">
        <v>57.0</v>
      </c>
      <c r="AK5" s="42">
        <v>61.0</v>
      </c>
      <c r="AL5" s="42">
        <v>96.0</v>
      </c>
      <c r="AM5" s="42">
        <v>80.0</v>
      </c>
      <c r="AN5" s="42">
        <v>69.0</v>
      </c>
      <c r="AO5" s="42">
        <v>59.0</v>
      </c>
      <c r="AP5" s="42">
        <v>60.0</v>
      </c>
      <c r="AQ5" s="42">
        <v>61.0</v>
      </c>
      <c r="AR5" s="42">
        <v>70.0</v>
      </c>
      <c r="AS5" s="42">
        <v>53.0</v>
      </c>
      <c r="AT5" s="42">
        <v>110.0</v>
      </c>
      <c r="AU5" s="42">
        <v>67.0</v>
      </c>
      <c r="AV5" s="42">
        <v>53.0</v>
      </c>
      <c r="AW5" s="42">
        <v>50.0</v>
      </c>
      <c r="AX5" s="42">
        <v>35.0</v>
      </c>
      <c r="AY5" s="42">
        <v>60.0</v>
      </c>
      <c r="AZ5" s="43">
        <v>63.0</v>
      </c>
      <c r="BA5" s="1">
        <v>54.0</v>
      </c>
      <c r="BB5" s="44" t="s">
        <v>41</v>
      </c>
      <c r="BC5" s="42" t="s">
        <v>56</v>
      </c>
      <c r="BD5" s="42" t="s">
        <v>50</v>
      </c>
      <c r="BE5" s="21" t="s">
        <v>68</v>
      </c>
      <c r="BF5" s="45" t="s">
        <v>48</v>
      </c>
      <c r="BG5" s="43" t="s">
        <v>54</v>
      </c>
      <c r="BH5" s="1"/>
      <c r="BI5" s="46">
        <v>2101.0</v>
      </c>
      <c r="BJ5" s="47">
        <v>2166.0</v>
      </c>
      <c r="BK5" s="48">
        <v>2288.0</v>
      </c>
    </row>
    <row r="6" ht="14.25" customHeight="1">
      <c r="B6" s="36">
        <f t="shared" si="1"/>
        <v>3</v>
      </c>
      <c r="C6" s="37" t="s">
        <v>69</v>
      </c>
      <c r="D6" s="21">
        <f t="shared" si="2"/>
        <v>2344</v>
      </c>
      <c r="E6" s="38">
        <v>4.0</v>
      </c>
      <c r="F6" s="39">
        <f t="shared" si="3"/>
        <v>61.78947368</v>
      </c>
      <c r="G6" s="21">
        <f t="shared" si="4"/>
        <v>288</v>
      </c>
      <c r="H6" s="40">
        <f t="shared" si="5"/>
        <v>15.674582</v>
      </c>
      <c r="I6" s="21">
        <f t="shared" si="6"/>
        <v>95</v>
      </c>
      <c r="J6" s="28">
        <f t="shared" si="7"/>
        <v>31</v>
      </c>
      <c r="K6" s="26"/>
      <c r="L6" s="41">
        <f t="shared" si="8"/>
        <v>1079</v>
      </c>
      <c r="M6" s="28">
        <f t="shared" si="9"/>
        <v>1269</v>
      </c>
      <c r="N6" s="1"/>
      <c r="O6" s="41">
        <v>66.0</v>
      </c>
      <c r="P6" s="21">
        <v>84.0</v>
      </c>
      <c r="Q6" s="21">
        <v>65.0</v>
      </c>
      <c r="R6" s="21">
        <v>67.0</v>
      </c>
      <c r="S6" s="21">
        <v>62.0</v>
      </c>
      <c r="T6" s="21">
        <v>37.0</v>
      </c>
      <c r="U6" s="42">
        <v>49.0</v>
      </c>
      <c r="V6" s="42">
        <v>37.0</v>
      </c>
      <c r="W6" s="42">
        <v>48.0</v>
      </c>
      <c r="X6" s="42">
        <v>31.0</v>
      </c>
      <c r="Y6" s="42">
        <v>42.0</v>
      </c>
      <c r="Z6" s="42">
        <v>53.0</v>
      </c>
      <c r="AA6" s="42">
        <v>53.0</v>
      </c>
      <c r="AB6" s="42">
        <v>60.0</v>
      </c>
      <c r="AC6" s="42">
        <v>62.0</v>
      </c>
      <c r="AD6" s="42">
        <v>52.0</v>
      </c>
      <c r="AE6" s="42">
        <v>64.0</v>
      </c>
      <c r="AF6" s="42">
        <v>54.0</v>
      </c>
      <c r="AG6" s="42">
        <v>93.0</v>
      </c>
      <c r="AH6" s="42">
        <v>69.0</v>
      </c>
      <c r="AI6" s="42">
        <v>65.0</v>
      </c>
      <c r="AJ6" s="42">
        <v>43.0</v>
      </c>
      <c r="AK6" s="42">
        <v>59.0</v>
      </c>
      <c r="AL6" s="42">
        <v>95.0</v>
      </c>
      <c r="AM6" s="42">
        <v>77.0</v>
      </c>
      <c r="AN6" s="42">
        <v>85.0</v>
      </c>
      <c r="AO6" s="42">
        <v>76.0</v>
      </c>
      <c r="AP6" s="42">
        <v>66.0</v>
      </c>
      <c r="AQ6" s="42">
        <v>61.0</v>
      </c>
      <c r="AR6" s="42">
        <v>67.0</v>
      </c>
      <c r="AS6" s="42">
        <v>52.0</v>
      </c>
      <c r="AT6" s="42">
        <v>87.0</v>
      </c>
      <c r="AU6" s="42">
        <v>79.0</v>
      </c>
      <c r="AV6" s="42">
        <v>78.0</v>
      </c>
      <c r="AW6" s="42">
        <v>43.0</v>
      </c>
      <c r="AX6" s="42">
        <v>58.0</v>
      </c>
      <c r="AY6" s="42">
        <v>43.0</v>
      </c>
      <c r="AZ6" s="43">
        <v>66.0</v>
      </c>
      <c r="BA6" s="1"/>
      <c r="BB6" s="41" t="s">
        <v>70</v>
      </c>
      <c r="BC6" s="42" t="s">
        <v>54</v>
      </c>
      <c r="BD6" s="42" t="s">
        <v>48</v>
      </c>
      <c r="BE6" s="21" t="s">
        <v>30</v>
      </c>
      <c r="BF6" s="45" t="s">
        <v>52</v>
      </c>
      <c r="BG6" s="43" t="s">
        <v>47</v>
      </c>
      <c r="BH6" s="1"/>
      <c r="BI6" s="46" t="s">
        <v>66</v>
      </c>
      <c r="BJ6" s="47">
        <v>2466.0</v>
      </c>
      <c r="BK6" s="48">
        <v>2367.0</v>
      </c>
    </row>
    <row r="7" ht="14.25" customHeight="1">
      <c r="B7" s="36">
        <f t="shared" si="1"/>
        <v>4</v>
      </c>
      <c r="C7" s="37" t="s">
        <v>71</v>
      </c>
      <c r="D7" s="21">
        <f t="shared" si="2"/>
        <v>2255</v>
      </c>
      <c r="E7" s="22">
        <v>0.0</v>
      </c>
      <c r="F7" s="39">
        <f t="shared" si="3"/>
        <v>59.34210526</v>
      </c>
      <c r="G7" s="21">
        <f t="shared" si="4"/>
        <v>259</v>
      </c>
      <c r="H7" s="40">
        <f t="shared" si="5"/>
        <v>16.62793514</v>
      </c>
      <c r="I7" s="21">
        <f t="shared" si="6"/>
        <v>104</v>
      </c>
      <c r="J7" s="28">
        <f t="shared" si="7"/>
        <v>28</v>
      </c>
      <c r="K7" s="26"/>
      <c r="L7" s="41">
        <f t="shared" si="8"/>
        <v>1057</v>
      </c>
      <c r="M7" s="28">
        <f t="shared" si="9"/>
        <v>1198</v>
      </c>
      <c r="N7" s="1"/>
      <c r="O7" s="41">
        <v>56.0</v>
      </c>
      <c r="P7" s="21">
        <v>42.0</v>
      </c>
      <c r="Q7" s="21">
        <v>77.0</v>
      </c>
      <c r="R7" s="21">
        <v>60.0</v>
      </c>
      <c r="S7" s="21">
        <v>50.0</v>
      </c>
      <c r="T7" s="21">
        <v>60.0</v>
      </c>
      <c r="U7" s="42">
        <v>51.0</v>
      </c>
      <c r="V7" s="42">
        <v>28.0</v>
      </c>
      <c r="W7" s="42">
        <v>72.0</v>
      </c>
      <c r="X7" s="42">
        <v>33.0</v>
      </c>
      <c r="Y7" s="42">
        <v>51.0</v>
      </c>
      <c r="Z7" s="42">
        <v>37.0</v>
      </c>
      <c r="AA7" s="42">
        <v>56.0</v>
      </c>
      <c r="AB7" s="42">
        <v>58.0</v>
      </c>
      <c r="AC7" s="42">
        <v>80.0</v>
      </c>
      <c r="AD7" s="42">
        <v>54.0</v>
      </c>
      <c r="AE7" s="42">
        <v>56.0</v>
      </c>
      <c r="AF7" s="42">
        <v>58.0</v>
      </c>
      <c r="AG7" s="42">
        <v>78.0</v>
      </c>
      <c r="AH7" s="42">
        <v>84.0</v>
      </c>
      <c r="AI7" s="42">
        <v>59.0</v>
      </c>
      <c r="AJ7" s="42">
        <v>43.0</v>
      </c>
      <c r="AK7" s="42">
        <v>66.0</v>
      </c>
      <c r="AL7" s="42">
        <v>101.0</v>
      </c>
      <c r="AM7" s="42">
        <v>104.0</v>
      </c>
      <c r="AN7" s="42">
        <v>72.0</v>
      </c>
      <c r="AO7" s="42">
        <v>54.0</v>
      </c>
      <c r="AP7" s="42">
        <v>65.0</v>
      </c>
      <c r="AQ7" s="42">
        <v>56.0</v>
      </c>
      <c r="AR7" s="42">
        <v>52.0</v>
      </c>
      <c r="AS7" s="42">
        <v>37.0</v>
      </c>
      <c r="AT7" s="42">
        <v>64.0</v>
      </c>
      <c r="AU7" s="42">
        <v>82.0</v>
      </c>
      <c r="AV7" s="42">
        <v>54.0</v>
      </c>
      <c r="AW7" s="42">
        <v>49.0</v>
      </c>
      <c r="AX7" s="42">
        <v>48.0</v>
      </c>
      <c r="AY7" s="42">
        <v>44.0</v>
      </c>
      <c r="AZ7" s="43">
        <v>64.0</v>
      </c>
      <c r="BA7" s="1"/>
      <c r="BB7" s="44" t="s">
        <v>43</v>
      </c>
      <c r="BC7" s="42" t="s">
        <v>56</v>
      </c>
      <c r="BD7" s="42" t="s">
        <v>51</v>
      </c>
      <c r="BE7" s="21" t="s">
        <v>70</v>
      </c>
      <c r="BF7" s="45" t="s">
        <v>55</v>
      </c>
      <c r="BG7" s="43" t="s">
        <v>47</v>
      </c>
      <c r="BH7" s="1"/>
      <c r="BI7" s="46">
        <v>2131.0</v>
      </c>
      <c r="BJ7" s="47">
        <v>2471.0</v>
      </c>
      <c r="BK7" s="48">
        <v>2365.0</v>
      </c>
    </row>
    <row r="8" ht="14.25" customHeight="1">
      <c r="B8" s="36">
        <f t="shared" si="1"/>
        <v>5</v>
      </c>
      <c r="C8" s="37" t="s">
        <v>72</v>
      </c>
      <c r="D8" s="21">
        <f t="shared" si="2"/>
        <v>2250</v>
      </c>
      <c r="E8" s="38">
        <v>8.0</v>
      </c>
      <c r="F8" s="39">
        <f t="shared" si="3"/>
        <v>59.42105263</v>
      </c>
      <c r="G8" s="21">
        <f t="shared" si="4"/>
        <v>275</v>
      </c>
      <c r="H8" s="40">
        <f t="shared" si="5"/>
        <v>18.65000576</v>
      </c>
      <c r="I8" s="21">
        <f t="shared" si="6"/>
        <v>122</v>
      </c>
      <c r="J8" s="28">
        <f t="shared" si="7"/>
        <v>25</v>
      </c>
      <c r="K8" s="26"/>
      <c r="L8" s="41">
        <f t="shared" si="8"/>
        <v>1089</v>
      </c>
      <c r="M8" s="28">
        <f t="shared" si="9"/>
        <v>1169</v>
      </c>
      <c r="N8" s="1"/>
      <c r="O8" s="41">
        <v>53.0</v>
      </c>
      <c r="P8" s="21">
        <v>90.0</v>
      </c>
      <c r="Q8" s="21">
        <v>64.0</v>
      </c>
      <c r="R8" s="21">
        <v>37.0</v>
      </c>
      <c r="S8" s="21">
        <v>73.0</v>
      </c>
      <c r="T8" s="21">
        <v>81.0</v>
      </c>
      <c r="U8" s="42">
        <v>46.0</v>
      </c>
      <c r="V8" s="42">
        <v>50.0</v>
      </c>
      <c r="W8" s="42">
        <v>51.0</v>
      </c>
      <c r="X8" s="42">
        <v>56.0</v>
      </c>
      <c r="Y8" s="42">
        <v>36.0</v>
      </c>
      <c r="Z8" s="42">
        <v>52.0</v>
      </c>
      <c r="AA8" s="42">
        <v>55.0</v>
      </c>
      <c r="AB8" s="42">
        <v>59.0</v>
      </c>
      <c r="AC8" s="42">
        <v>73.0</v>
      </c>
      <c r="AD8" s="42">
        <v>25.0</v>
      </c>
      <c r="AE8" s="42">
        <v>66.0</v>
      </c>
      <c r="AF8" s="42">
        <v>53.0</v>
      </c>
      <c r="AG8" s="42">
        <v>69.0</v>
      </c>
      <c r="AH8" s="42">
        <v>57.0</v>
      </c>
      <c r="AI8" s="42">
        <v>93.0</v>
      </c>
      <c r="AJ8" s="42">
        <v>40.0</v>
      </c>
      <c r="AK8" s="42">
        <v>61.0</v>
      </c>
      <c r="AL8" s="42">
        <v>122.0</v>
      </c>
      <c r="AM8" s="42">
        <v>77.0</v>
      </c>
      <c r="AN8" s="42">
        <v>65.0</v>
      </c>
      <c r="AO8" s="42">
        <v>46.0</v>
      </c>
      <c r="AP8" s="42">
        <v>68.0</v>
      </c>
      <c r="AQ8" s="42">
        <v>31.0</v>
      </c>
      <c r="AR8" s="42">
        <v>46.0</v>
      </c>
      <c r="AS8" s="42">
        <v>46.0</v>
      </c>
      <c r="AT8" s="42">
        <v>76.0</v>
      </c>
      <c r="AU8" s="42">
        <v>66.0</v>
      </c>
      <c r="AV8" s="42">
        <v>75.0</v>
      </c>
      <c r="AW8" s="42">
        <v>44.0</v>
      </c>
      <c r="AX8" s="42">
        <v>66.0</v>
      </c>
      <c r="AY8" s="42">
        <v>52.0</v>
      </c>
      <c r="AZ8" s="43">
        <v>38.0</v>
      </c>
      <c r="BA8" s="1"/>
      <c r="BB8" s="44" t="s">
        <v>42</v>
      </c>
      <c r="BC8" s="42" t="s">
        <v>51</v>
      </c>
      <c r="BD8" s="42" t="s">
        <v>53</v>
      </c>
      <c r="BE8" s="21" t="s">
        <v>73</v>
      </c>
      <c r="BF8" s="45" t="s">
        <v>48</v>
      </c>
      <c r="BG8" s="43" t="s">
        <v>52</v>
      </c>
      <c r="BH8" s="1"/>
      <c r="BI8" s="46" t="s">
        <v>66</v>
      </c>
      <c r="BJ8" s="47">
        <v>2332.0</v>
      </c>
      <c r="BK8" s="48">
        <v>2352.0</v>
      </c>
    </row>
    <row r="9" ht="14.25" customHeight="1">
      <c r="A9" s="2"/>
      <c r="B9" s="36">
        <f t="shared" si="1"/>
        <v>6</v>
      </c>
      <c r="C9" s="37" t="s">
        <v>74</v>
      </c>
      <c r="D9" s="21">
        <f t="shared" si="2"/>
        <v>2246</v>
      </c>
      <c r="E9" s="22">
        <v>0.0</v>
      </c>
      <c r="F9" s="39">
        <f t="shared" si="3"/>
        <v>59.10526316</v>
      </c>
      <c r="G9" s="21">
        <f t="shared" si="4"/>
        <v>243</v>
      </c>
      <c r="H9" s="40">
        <f t="shared" si="5"/>
        <v>18.72345767</v>
      </c>
      <c r="I9" s="21">
        <f t="shared" si="6"/>
        <v>109</v>
      </c>
      <c r="J9" s="28">
        <f t="shared" si="7"/>
        <v>25</v>
      </c>
      <c r="K9" s="26"/>
      <c r="L9" s="41">
        <f t="shared" si="8"/>
        <v>1106</v>
      </c>
      <c r="M9" s="28">
        <f t="shared" si="9"/>
        <v>1140</v>
      </c>
      <c r="N9" s="1"/>
      <c r="O9" s="41">
        <v>37.0</v>
      </c>
      <c r="P9" s="21">
        <v>109.0</v>
      </c>
      <c r="Q9" s="21">
        <v>65.0</v>
      </c>
      <c r="R9" s="21">
        <v>60.0</v>
      </c>
      <c r="S9" s="21">
        <v>63.0</v>
      </c>
      <c r="T9" s="21">
        <v>55.0</v>
      </c>
      <c r="U9" s="42">
        <v>41.0</v>
      </c>
      <c r="V9" s="42">
        <v>25.0</v>
      </c>
      <c r="W9" s="42">
        <v>61.0</v>
      </c>
      <c r="X9" s="42">
        <v>40.0</v>
      </c>
      <c r="Y9" s="42">
        <v>47.0</v>
      </c>
      <c r="Z9" s="42">
        <v>42.0</v>
      </c>
      <c r="AA9" s="42">
        <v>83.0</v>
      </c>
      <c r="AB9" s="42">
        <v>86.0</v>
      </c>
      <c r="AC9" s="42">
        <v>46.0</v>
      </c>
      <c r="AD9" s="42">
        <v>65.0</v>
      </c>
      <c r="AE9" s="42">
        <v>50.0</v>
      </c>
      <c r="AF9" s="42">
        <v>46.0</v>
      </c>
      <c r="AG9" s="42">
        <v>85.0</v>
      </c>
      <c r="AH9" s="42">
        <v>50.0</v>
      </c>
      <c r="AI9" s="42">
        <v>59.0</v>
      </c>
      <c r="AJ9" s="42">
        <v>59.0</v>
      </c>
      <c r="AK9" s="42">
        <v>68.0</v>
      </c>
      <c r="AL9" s="42">
        <v>106.0</v>
      </c>
      <c r="AM9" s="42">
        <v>69.0</v>
      </c>
      <c r="AN9" s="42">
        <v>85.0</v>
      </c>
      <c r="AO9" s="42">
        <v>61.0</v>
      </c>
      <c r="AP9" s="42">
        <v>61.0</v>
      </c>
      <c r="AQ9" s="42">
        <v>54.0</v>
      </c>
      <c r="AR9" s="42">
        <v>45.0</v>
      </c>
      <c r="AS9" s="42">
        <v>34.0</v>
      </c>
      <c r="AT9" s="42">
        <v>85.0</v>
      </c>
      <c r="AU9" s="42">
        <v>61.0</v>
      </c>
      <c r="AV9" s="42">
        <v>61.0</v>
      </c>
      <c r="AW9" s="42">
        <v>40.0</v>
      </c>
      <c r="AX9" s="42">
        <v>55.0</v>
      </c>
      <c r="AY9" s="42">
        <v>46.0</v>
      </c>
      <c r="AZ9" s="43">
        <v>41.0</v>
      </c>
      <c r="BA9" s="1"/>
      <c r="BB9" s="41" t="s">
        <v>32</v>
      </c>
      <c r="BC9" s="21" t="s">
        <v>34</v>
      </c>
      <c r="BD9" s="42" t="s">
        <v>50</v>
      </c>
      <c r="BE9" s="21" t="s">
        <v>30</v>
      </c>
      <c r="BF9" s="45" t="s">
        <v>46</v>
      </c>
      <c r="BG9" s="43" t="s">
        <v>47</v>
      </c>
      <c r="BH9" s="1"/>
      <c r="BI9" s="46" t="s">
        <v>66</v>
      </c>
      <c r="BJ9" s="47" t="s">
        <v>66</v>
      </c>
      <c r="BK9" s="48" t="s">
        <v>66</v>
      </c>
    </row>
    <row r="10" ht="14.25" customHeight="1">
      <c r="A10" s="2"/>
      <c r="B10" s="36">
        <f t="shared" si="1"/>
        <v>7</v>
      </c>
      <c r="C10" s="37" t="s">
        <v>75</v>
      </c>
      <c r="D10" s="21">
        <f t="shared" si="2"/>
        <v>2214</v>
      </c>
      <c r="E10" s="38">
        <v>28.0</v>
      </c>
      <c r="F10" s="39">
        <f t="shared" si="3"/>
        <v>59</v>
      </c>
      <c r="G10" s="21">
        <f t="shared" si="4"/>
        <v>248</v>
      </c>
      <c r="H10" s="40">
        <f t="shared" si="5"/>
        <v>18.7826908</v>
      </c>
      <c r="I10" s="21">
        <f t="shared" si="6"/>
        <v>120</v>
      </c>
      <c r="J10" s="28">
        <f t="shared" si="7"/>
        <v>32</v>
      </c>
      <c r="K10" s="26"/>
      <c r="L10" s="41">
        <f t="shared" si="8"/>
        <v>1062</v>
      </c>
      <c r="M10" s="28">
        <f t="shared" si="9"/>
        <v>1180</v>
      </c>
      <c r="N10" s="1"/>
      <c r="O10" s="41">
        <v>60.0</v>
      </c>
      <c r="P10" s="21">
        <v>77.0</v>
      </c>
      <c r="Q10" s="21">
        <v>85.0</v>
      </c>
      <c r="R10" s="21">
        <v>33.0</v>
      </c>
      <c r="S10" s="21">
        <v>65.0</v>
      </c>
      <c r="T10" s="21">
        <v>58.0</v>
      </c>
      <c r="U10" s="42">
        <v>43.0</v>
      </c>
      <c r="V10" s="42">
        <v>38.0</v>
      </c>
      <c r="W10" s="42">
        <v>40.0</v>
      </c>
      <c r="X10" s="42">
        <v>41.0</v>
      </c>
      <c r="Y10" s="42">
        <v>52.0</v>
      </c>
      <c r="Z10" s="42">
        <v>49.0</v>
      </c>
      <c r="AA10" s="42">
        <v>63.0</v>
      </c>
      <c r="AB10" s="42">
        <v>77.0</v>
      </c>
      <c r="AC10" s="42">
        <v>58.0</v>
      </c>
      <c r="AD10" s="42">
        <v>47.0</v>
      </c>
      <c r="AE10" s="42">
        <v>61.0</v>
      </c>
      <c r="AF10" s="42">
        <v>62.0</v>
      </c>
      <c r="AG10" s="42">
        <v>53.0</v>
      </c>
      <c r="AH10" s="42">
        <v>46.0</v>
      </c>
      <c r="AI10" s="42">
        <v>72.0</v>
      </c>
      <c r="AJ10" s="42">
        <v>32.0</v>
      </c>
      <c r="AK10" s="42">
        <v>60.0</v>
      </c>
      <c r="AL10" s="42">
        <v>106.0</v>
      </c>
      <c r="AM10" s="42">
        <v>88.0</v>
      </c>
      <c r="AN10" s="42">
        <v>72.0</v>
      </c>
      <c r="AO10" s="42">
        <v>42.0</v>
      </c>
      <c r="AP10" s="42">
        <v>76.0</v>
      </c>
      <c r="AQ10" s="42">
        <v>65.0</v>
      </c>
      <c r="AR10" s="42">
        <v>62.0</v>
      </c>
      <c r="AS10" s="42">
        <v>46.0</v>
      </c>
      <c r="AT10" s="42">
        <v>120.0</v>
      </c>
      <c r="AU10" s="42">
        <v>45.0</v>
      </c>
      <c r="AV10" s="42">
        <v>54.0</v>
      </c>
      <c r="AW10" s="42">
        <v>38.0</v>
      </c>
      <c r="AX10" s="42">
        <v>49.0</v>
      </c>
      <c r="AY10" s="42">
        <v>52.0</v>
      </c>
      <c r="AZ10" s="43">
        <v>55.0</v>
      </c>
      <c r="BA10" s="1"/>
      <c r="BB10" s="44" t="s">
        <v>41</v>
      </c>
      <c r="BC10" s="42" t="s">
        <v>42</v>
      </c>
      <c r="BD10" s="42" t="s">
        <v>48</v>
      </c>
      <c r="BE10" s="21" t="s">
        <v>34</v>
      </c>
      <c r="BF10" s="45" t="s">
        <v>52</v>
      </c>
      <c r="BG10" s="43" t="s">
        <v>47</v>
      </c>
      <c r="BH10" s="1"/>
      <c r="BI10" s="46">
        <v>2267.0</v>
      </c>
      <c r="BJ10" s="47">
        <v>2372.0</v>
      </c>
      <c r="BK10" s="48">
        <v>2086.0</v>
      </c>
    </row>
    <row r="11" ht="14.25" customHeight="1">
      <c r="B11" s="36">
        <f t="shared" si="1"/>
        <v>8</v>
      </c>
      <c r="C11" s="37" t="s">
        <v>76</v>
      </c>
      <c r="D11" s="21">
        <f t="shared" si="2"/>
        <v>2211</v>
      </c>
      <c r="E11" s="38">
        <v>12.0</v>
      </c>
      <c r="F11" s="39">
        <f t="shared" si="3"/>
        <v>58.5</v>
      </c>
      <c r="G11" s="21">
        <f t="shared" si="4"/>
        <v>287</v>
      </c>
      <c r="H11" s="40">
        <f t="shared" si="5"/>
        <v>23.65069266</v>
      </c>
      <c r="I11" s="21">
        <f t="shared" si="6"/>
        <v>140</v>
      </c>
      <c r="J11" s="28">
        <f t="shared" si="7"/>
        <v>14</v>
      </c>
      <c r="K11" s="26"/>
      <c r="L11" s="41">
        <f t="shared" si="8"/>
        <v>997</v>
      </c>
      <c r="M11" s="28">
        <f t="shared" si="9"/>
        <v>1226</v>
      </c>
      <c r="N11" s="1"/>
      <c r="O11" s="41">
        <v>75.0</v>
      </c>
      <c r="P11" s="21">
        <v>102.0</v>
      </c>
      <c r="Q11" s="21">
        <v>73.0</v>
      </c>
      <c r="R11" s="21">
        <v>53.0</v>
      </c>
      <c r="S11" s="21">
        <v>49.0</v>
      </c>
      <c r="T11" s="21">
        <v>53.0</v>
      </c>
      <c r="U11" s="42">
        <v>47.0</v>
      </c>
      <c r="V11" s="42">
        <v>14.0</v>
      </c>
      <c r="W11" s="42">
        <v>62.0</v>
      </c>
      <c r="X11" s="42">
        <v>29.0</v>
      </c>
      <c r="Y11" s="42">
        <v>45.0</v>
      </c>
      <c r="Z11" s="42">
        <v>25.0</v>
      </c>
      <c r="AA11" s="42">
        <v>91.0</v>
      </c>
      <c r="AB11" s="42">
        <v>30.0</v>
      </c>
      <c r="AC11" s="42">
        <v>57.0</v>
      </c>
      <c r="AD11" s="42">
        <v>59.0</v>
      </c>
      <c r="AE11" s="42">
        <v>25.0</v>
      </c>
      <c r="AF11" s="42">
        <v>46.0</v>
      </c>
      <c r="AG11" s="42">
        <v>62.0</v>
      </c>
      <c r="AH11" s="42">
        <v>57.0</v>
      </c>
      <c r="AI11" s="42">
        <v>51.0</v>
      </c>
      <c r="AJ11" s="42">
        <v>53.0</v>
      </c>
      <c r="AK11" s="42">
        <v>45.0</v>
      </c>
      <c r="AL11" s="42">
        <v>140.0</v>
      </c>
      <c r="AM11" s="42">
        <v>102.0</v>
      </c>
      <c r="AN11" s="42">
        <v>53.0</v>
      </c>
      <c r="AO11" s="42">
        <v>76.0</v>
      </c>
      <c r="AP11" s="42">
        <v>60.0</v>
      </c>
      <c r="AQ11" s="42">
        <v>90.0</v>
      </c>
      <c r="AR11" s="42">
        <v>56.0</v>
      </c>
      <c r="AS11" s="42">
        <v>32.0</v>
      </c>
      <c r="AT11" s="42">
        <v>68.0</v>
      </c>
      <c r="AU11" s="42">
        <v>56.0</v>
      </c>
      <c r="AV11" s="42">
        <v>69.0</v>
      </c>
      <c r="AW11" s="42">
        <v>44.0</v>
      </c>
      <c r="AX11" s="42">
        <v>56.0</v>
      </c>
      <c r="AY11" s="42">
        <v>59.0</v>
      </c>
      <c r="AZ11" s="43">
        <v>59.0</v>
      </c>
      <c r="BA11" s="1"/>
      <c r="BB11" s="44" t="s">
        <v>42</v>
      </c>
      <c r="BC11" s="42" t="s">
        <v>51</v>
      </c>
      <c r="BD11" s="42" t="s">
        <v>53</v>
      </c>
      <c r="BE11" s="21" t="s">
        <v>31</v>
      </c>
      <c r="BF11" s="45" t="s">
        <v>48</v>
      </c>
      <c r="BG11" s="43" t="s">
        <v>47</v>
      </c>
      <c r="BH11" s="1"/>
      <c r="BI11" s="46">
        <v>2179.0</v>
      </c>
      <c r="BJ11" s="47">
        <v>2378.0</v>
      </c>
      <c r="BK11" s="48">
        <v>2288.0</v>
      </c>
    </row>
    <row r="12" ht="14.25" customHeight="1">
      <c r="B12" s="36">
        <f t="shared" si="1"/>
        <v>9</v>
      </c>
      <c r="C12" s="37" t="s">
        <v>77</v>
      </c>
      <c r="D12" s="21">
        <f t="shared" si="2"/>
        <v>2130</v>
      </c>
      <c r="E12" s="21">
        <v>0.0</v>
      </c>
      <c r="F12" s="39">
        <f t="shared" si="3"/>
        <v>56.05263158</v>
      </c>
      <c r="G12" s="21">
        <f t="shared" si="4"/>
        <v>264</v>
      </c>
      <c r="H12" s="40">
        <f t="shared" si="5"/>
        <v>22.38884516</v>
      </c>
      <c r="I12" s="21">
        <f t="shared" si="6"/>
        <v>129</v>
      </c>
      <c r="J12" s="28">
        <f t="shared" si="7"/>
        <v>25</v>
      </c>
      <c r="K12" s="26"/>
      <c r="L12" s="41">
        <f t="shared" si="8"/>
        <v>916</v>
      </c>
      <c r="M12" s="28">
        <f t="shared" si="9"/>
        <v>1214</v>
      </c>
      <c r="N12" s="1"/>
      <c r="O12" s="41">
        <v>54.0</v>
      </c>
      <c r="P12" s="21">
        <v>53.0</v>
      </c>
      <c r="Q12" s="21">
        <v>29.0</v>
      </c>
      <c r="R12" s="21">
        <v>67.0</v>
      </c>
      <c r="S12" s="21">
        <v>77.0</v>
      </c>
      <c r="T12" s="21">
        <v>58.0</v>
      </c>
      <c r="U12" s="42">
        <v>76.0</v>
      </c>
      <c r="V12" s="42">
        <v>38.0</v>
      </c>
      <c r="W12" s="42">
        <v>36.0</v>
      </c>
      <c r="X12" s="42">
        <v>25.0</v>
      </c>
      <c r="Y12" s="42">
        <v>27.0</v>
      </c>
      <c r="Z12" s="42">
        <v>59.0</v>
      </c>
      <c r="AA12" s="42">
        <v>81.0</v>
      </c>
      <c r="AB12" s="42">
        <v>34.0</v>
      </c>
      <c r="AC12" s="42">
        <v>30.0</v>
      </c>
      <c r="AD12" s="42">
        <v>42.0</v>
      </c>
      <c r="AE12" s="42">
        <v>27.0</v>
      </c>
      <c r="AF12" s="42">
        <v>42.0</v>
      </c>
      <c r="AG12" s="42">
        <v>61.0</v>
      </c>
      <c r="AH12" s="42">
        <v>41.0</v>
      </c>
      <c r="AI12" s="42">
        <v>70.0</v>
      </c>
      <c r="AJ12" s="42">
        <v>26.0</v>
      </c>
      <c r="AK12" s="42">
        <v>81.0</v>
      </c>
      <c r="AL12" s="42">
        <v>129.0</v>
      </c>
      <c r="AM12" s="42">
        <v>77.0</v>
      </c>
      <c r="AN12" s="42">
        <v>86.0</v>
      </c>
      <c r="AO12" s="42">
        <v>62.0</v>
      </c>
      <c r="AP12" s="42">
        <v>94.0</v>
      </c>
      <c r="AQ12" s="42">
        <v>51.0</v>
      </c>
      <c r="AR12" s="42">
        <v>62.0</v>
      </c>
      <c r="AS12" s="42">
        <v>31.0</v>
      </c>
      <c r="AT12" s="42">
        <v>67.0</v>
      </c>
      <c r="AU12" s="42">
        <v>73.0</v>
      </c>
      <c r="AV12" s="42">
        <v>70.0</v>
      </c>
      <c r="AW12" s="42">
        <v>41.0</v>
      </c>
      <c r="AX12" s="42">
        <v>58.0</v>
      </c>
      <c r="AY12" s="42">
        <v>48.0</v>
      </c>
      <c r="AZ12" s="43">
        <v>47.0</v>
      </c>
      <c r="BA12" s="1"/>
      <c r="BB12" s="44" t="s">
        <v>42</v>
      </c>
      <c r="BC12" s="21"/>
      <c r="BD12" s="42" t="s">
        <v>46</v>
      </c>
      <c r="BE12" s="21"/>
      <c r="BF12" s="45" t="s">
        <v>41</v>
      </c>
      <c r="BG12" s="28"/>
      <c r="BH12" s="1"/>
      <c r="BI12" s="41" t="s">
        <v>66</v>
      </c>
      <c r="BJ12" s="49">
        <v>2275.0</v>
      </c>
      <c r="BK12" s="28">
        <v>2162.0</v>
      </c>
    </row>
    <row r="13" ht="14.25" customHeight="1">
      <c r="A13" s="50"/>
      <c r="B13" s="51">
        <f t="shared" si="1"/>
        <v>10</v>
      </c>
      <c r="C13" s="52" t="s">
        <v>78</v>
      </c>
      <c r="D13" s="53">
        <f t="shared" si="2"/>
        <v>1976</v>
      </c>
      <c r="E13" s="53">
        <v>0.0</v>
      </c>
      <c r="F13" s="54">
        <f t="shared" si="3"/>
        <v>52</v>
      </c>
      <c r="G13" s="53">
        <f t="shared" si="4"/>
        <v>230</v>
      </c>
      <c r="H13" s="55">
        <f t="shared" si="5"/>
        <v>17.88412998</v>
      </c>
      <c r="I13" s="53">
        <f t="shared" si="6"/>
        <v>102</v>
      </c>
      <c r="J13" s="56">
        <f t="shared" si="7"/>
        <v>25</v>
      </c>
      <c r="K13" s="26"/>
      <c r="L13" s="57">
        <f t="shared" si="8"/>
        <v>1064</v>
      </c>
      <c r="M13" s="56">
        <f t="shared" si="9"/>
        <v>912</v>
      </c>
      <c r="N13" s="1"/>
      <c r="O13" s="57">
        <v>49.0</v>
      </c>
      <c r="P13" s="53">
        <v>100.0</v>
      </c>
      <c r="Q13" s="53">
        <v>41.0</v>
      </c>
      <c r="R13" s="53">
        <v>39.0</v>
      </c>
      <c r="S13" s="53">
        <v>63.0</v>
      </c>
      <c r="T13" s="53">
        <v>102.0</v>
      </c>
      <c r="U13" s="58">
        <v>75.0</v>
      </c>
      <c r="V13" s="58">
        <v>34.0</v>
      </c>
      <c r="W13" s="58">
        <v>54.0</v>
      </c>
      <c r="X13" s="58">
        <v>26.0</v>
      </c>
      <c r="Y13" s="58">
        <v>39.0</v>
      </c>
      <c r="Z13" s="58">
        <v>75.0</v>
      </c>
      <c r="AA13" s="58">
        <v>79.0</v>
      </c>
      <c r="AB13" s="58">
        <v>57.0</v>
      </c>
      <c r="AC13" s="58">
        <v>65.0</v>
      </c>
      <c r="AD13" s="58">
        <v>53.0</v>
      </c>
      <c r="AE13" s="58">
        <v>27.0</v>
      </c>
      <c r="AF13" s="58">
        <v>48.0</v>
      </c>
      <c r="AG13" s="58">
        <v>38.0</v>
      </c>
      <c r="AH13" s="58">
        <v>61.0</v>
      </c>
      <c r="AI13" s="58">
        <v>57.0</v>
      </c>
      <c r="AJ13" s="58">
        <v>38.0</v>
      </c>
      <c r="AK13" s="58">
        <v>67.0</v>
      </c>
      <c r="AL13" s="58">
        <v>39.0</v>
      </c>
      <c r="AM13" s="58">
        <v>46.0</v>
      </c>
      <c r="AN13" s="58">
        <v>53.0</v>
      </c>
      <c r="AO13" s="58">
        <v>68.0</v>
      </c>
      <c r="AP13" s="58">
        <v>47.0</v>
      </c>
      <c r="AQ13" s="58">
        <v>30.0</v>
      </c>
      <c r="AR13" s="58">
        <v>40.0</v>
      </c>
      <c r="AS13" s="58">
        <v>25.0</v>
      </c>
      <c r="AT13" s="58">
        <v>47.0</v>
      </c>
      <c r="AU13" s="58">
        <v>64.0</v>
      </c>
      <c r="AV13" s="58">
        <v>51.0</v>
      </c>
      <c r="AW13" s="58">
        <v>34.0</v>
      </c>
      <c r="AX13" s="58">
        <v>44.0</v>
      </c>
      <c r="AY13" s="58">
        <v>49.0</v>
      </c>
      <c r="AZ13" s="59">
        <v>52.0</v>
      </c>
      <c r="BA13" s="1"/>
      <c r="BB13" s="60" t="s">
        <v>48</v>
      </c>
      <c r="BC13" s="53"/>
      <c r="BD13" s="53"/>
      <c r="BE13" s="53"/>
      <c r="BF13" s="61" t="s">
        <v>47</v>
      </c>
      <c r="BG13" s="56"/>
      <c r="BH13" s="1"/>
      <c r="BI13" s="62">
        <v>1798.0</v>
      </c>
      <c r="BJ13" s="63">
        <v>2136.0</v>
      </c>
      <c r="BK13" s="64">
        <v>2225.0</v>
      </c>
    </row>
    <row r="14" ht="14.25" hidden="1" customHeight="1">
      <c r="A14" s="2"/>
      <c r="B14" s="36"/>
      <c r="C14" s="37"/>
      <c r="D14" s="21"/>
      <c r="E14" s="22"/>
      <c r="F14" s="39"/>
      <c r="G14" s="21"/>
      <c r="H14" s="40"/>
      <c r="I14" s="21"/>
      <c r="J14" s="28"/>
      <c r="K14" s="26"/>
      <c r="L14" s="41"/>
      <c r="M14" s="28"/>
      <c r="N14" s="1"/>
      <c r="O14" s="27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65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65"/>
      <c r="AT14" s="22"/>
      <c r="AU14" s="22"/>
      <c r="AV14" s="22"/>
      <c r="AW14" s="22"/>
      <c r="AX14" s="22"/>
      <c r="AY14" s="22"/>
      <c r="AZ14" s="25"/>
      <c r="BA14" s="1"/>
      <c r="BB14" s="19"/>
      <c r="BC14" s="37"/>
      <c r="BD14" s="37"/>
      <c r="BE14" s="37"/>
      <c r="BF14" s="37"/>
      <c r="BG14" s="66"/>
      <c r="BH14" s="1"/>
      <c r="BI14" s="46" t="s">
        <v>66</v>
      </c>
      <c r="BJ14" s="47">
        <v>2263.0</v>
      </c>
      <c r="BK14" s="48">
        <v>2246.0</v>
      </c>
    </row>
    <row r="15" ht="3.75" customHeight="1">
      <c r="E15" s="2"/>
      <c r="K15" s="2"/>
      <c r="L15" s="2"/>
      <c r="M15" s="2"/>
      <c r="AD15" s="2"/>
      <c r="AE15" s="2"/>
      <c r="BD15" s="2"/>
      <c r="BF15" s="2"/>
      <c r="BH15" s="2"/>
      <c r="BI15" s="2"/>
      <c r="BJ15" s="2"/>
    </row>
    <row r="16" ht="14.25" customHeight="1">
      <c r="A16" s="67"/>
      <c r="B16" s="68"/>
      <c r="C16" s="69" t="s">
        <v>79</v>
      </c>
      <c r="D16" s="70">
        <f>SUM(O16:AZ16)</f>
        <v>2008</v>
      </c>
      <c r="E16" s="71"/>
      <c r="F16" s="72">
        <f>AVERAGE(O16:AZ16)</f>
        <v>52.84210526</v>
      </c>
      <c r="G16" s="71">
        <f>SUM(OFFSET(O16,0,COUNTA(O16:AZ16)-5,1,5))</f>
        <v>216</v>
      </c>
      <c r="H16" s="73">
        <f>STDEV(O16:AZ16)</f>
        <v>10.79170431</v>
      </c>
      <c r="I16" s="71">
        <f>MAX(O16:AZ16)</f>
        <v>87</v>
      </c>
      <c r="J16" s="74">
        <f>MIN(O16:AZ16)</f>
        <v>34</v>
      </c>
      <c r="K16" s="2"/>
      <c r="L16" s="75">
        <f>SUM(O16:AD16)</f>
        <v>837</v>
      </c>
      <c r="M16" s="74">
        <f>SUM(AE16:AZ16)</f>
        <v>1171</v>
      </c>
      <c r="N16" s="1"/>
      <c r="O16" s="68">
        <v>57.0</v>
      </c>
      <c r="P16" s="69">
        <v>69.0</v>
      </c>
      <c r="Q16" s="69">
        <v>64.0</v>
      </c>
      <c r="R16" s="69">
        <v>51.0</v>
      </c>
      <c r="S16" s="69">
        <v>58.0</v>
      </c>
      <c r="T16" s="69">
        <v>50.0</v>
      </c>
      <c r="U16" s="76">
        <v>46.0</v>
      </c>
      <c r="V16" s="76">
        <v>36.0</v>
      </c>
      <c r="W16" s="76">
        <v>54.0</v>
      </c>
      <c r="X16" s="76">
        <v>39.0</v>
      </c>
      <c r="Y16" s="76">
        <v>49.0</v>
      </c>
      <c r="Z16" s="76">
        <v>49.0</v>
      </c>
      <c r="AA16" s="76">
        <v>60.0</v>
      </c>
      <c r="AB16" s="76">
        <v>58.0</v>
      </c>
      <c r="AC16" s="76">
        <v>50.0</v>
      </c>
      <c r="AD16" s="76">
        <v>47.0</v>
      </c>
      <c r="AE16" s="76">
        <v>60.0</v>
      </c>
      <c r="AF16" s="76">
        <v>51.0</v>
      </c>
      <c r="AG16" s="76">
        <v>66.0</v>
      </c>
      <c r="AH16" s="76">
        <v>60.0</v>
      </c>
      <c r="AI16" s="76">
        <v>55.0</v>
      </c>
      <c r="AJ16" s="76">
        <v>46.0</v>
      </c>
      <c r="AK16" s="76">
        <v>59.0</v>
      </c>
      <c r="AL16" s="76">
        <v>87.0</v>
      </c>
      <c r="AM16" s="76">
        <v>74.0</v>
      </c>
      <c r="AN16" s="76">
        <v>62.0</v>
      </c>
      <c r="AO16" s="76">
        <v>53.0</v>
      </c>
      <c r="AP16" s="76">
        <v>52.0</v>
      </c>
      <c r="AQ16" s="76">
        <v>40.0</v>
      </c>
      <c r="AR16" s="76">
        <v>44.0</v>
      </c>
      <c r="AS16" s="76">
        <v>34.0</v>
      </c>
      <c r="AT16" s="76">
        <v>56.0</v>
      </c>
      <c r="AU16" s="76">
        <v>56.0</v>
      </c>
      <c r="AV16" s="76">
        <v>47.0</v>
      </c>
      <c r="AW16" s="76">
        <v>41.0</v>
      </c>
      <c r="AX16" s="76">
        <v>43.0</v>
      </c>
      <c r="AY16" s="76">
        <v>39.0</v>
      </c>
      <c r="AZ16" s="77">
        <v>46.0</v>
      </c>
      <c r="BA16" s="1"/>
      <c r="BD16" s="2"/>
      <c r="BF16" s="2"/>
      <c r="BH16" s="1"/>
      <c r="BI16" s="68" t="s">
        <v>66</v>
      </c>
      <c r="BJ16" s="78">
        <v>2020.0</v>
      </c>
      <c r="BK16" s="79">
        <v>2003.0</v>
      </c>
    </row>
    <row r="17" ht="4.5" customHeight="1">
      <c r="E17" s="2"/>
      <c r="F17" s="80"/>
      <c r="H17" s="81"/>
      <c r="K17" s="2"/>
      <c r="L17" s="2"/>
      <c r="M17" s="2"/>
      <c r="N17" s="1"/>
      <c r="AD17" s="2"/>
      <c r="AE17" s="2"/>
      <c r="BA17" s="1"/>
      <c r="BD17" s="2"/>
      <c r="BF17" s="2"/>
      <c r="BH17" s="1"/>
      <c r="BI17" s="1"/>
      <c r="BJ17" s="1"/>
    </row>
    <row r="18" ht="14.25" customHeight="1">
      <c r="E18" s="2"/>
      <c r="H18" s="82" t="s">
        <v>80</v>
      </c>
      <c r="I18" s="83"/>
      <c r="J18" s="84"/>
      <c r="K18" s="2"/>
      <c r="L18" s="2"/>
      <c r="M18" s="2"/>
      <c r="N18" s="1"/>
      <c r="O18" s="85">
        <f t="shared" ref="O18:AZ18" si="10">IF(SUM(O4:O14)&gt;0,AVERAGE(O4:O14),"")</f>
        <v>60.7</v>
      </c>
      <c r="P18" s="86">
        <f t="shared" si="10"/>
        <v>80.6</v>
      </c>
      <c r="Q18" s="86">
        <f t="shared" si="10"/>
        <v>63.3</v>
      </c>
      <c r="R18" s="86">
        <f t="shared" si="10"/>
        <v>50.2</v>
      </c>
      <c r="S18" s="86">
        <f t="shared" si="10"/>
        <v>62.4</v>
      </c>
      <c r="T18" s="86">
        <f t="shared" si="10"/>
        <v>65.7</v>
      </c>
      <c r="U18" s="86">
        <f t="shared" si="10"/>
        <v>52.4</v>
      </c>
      <c r="V18" s="86">
        <f t="shared" si="10"/>
        <v>36.4</v>
      </c>
      <c r="W18" s="86">
        <f t="shared" si="10"/>
        <v>57.1</v>
      </c>
      <c r="X18" s="86">
        <f t="shared" si="10"/>
        <v>38.4</v>
      </c>
      <c r="Y18" s="86">
        <f t="shared" si="10"/>
        <v>48.1</v>
      </c>
      <c r="Z18" s="86">
        <f t="shared" si="10"/>
        <v>50.3</v>
      </c>
      <c r="AA18" s="86">
        <f t="shared" si="10"/>
        <v>70.7</v>
      </c>
      <c r="AB18" s="86">
        <f t="shared" si="10"/>
        <v>58.7</v>
      </c>
      <c r="AC18" s="86">
        <f t="shared" si="10"/>
        <v>58.4</v>
      </c>
      <c r="AD18" s="86">
        <f t="shared" si="10"/>
        <v>48.9</v>
      </c>
      <c r="AE18" s="86">
        <f t="shared" si="10"/>
        <v>50.9</v>
      </c>
      <c r="AF18" s="86">
        <f t="shared" si="10"/>
        <v>52.7</v>
      </c>
      <c r="AG18" s="86">
        <f t="shared" si="10"/>
        <v>67.4</v>
      </c>
      <c r="AH18" s="86">
        <f t="shared" si="10"/>
        <v>60.3</v>
      </c>
      <c r="AI18" s="86">
        <f t="shared" si="10"/>
        <v>67.8</v>
      </c>
      <c r="AJ18" s="86">
        <f t="shared" si="10"/>
        <v>43.9</v>
      </c>
      <c r="AK18" s="86">
        <f t="shared" si="10"/>
        <v>61.8</v>
      </c>
      <c r="AL18" s="86">
        <f t="shared" si="10"/>
        <v>105.2</v>
      </c>
      <c r="AM18" s="86">
        <f t="shared" si="10"/>
        <v>80.9</v>
      </c>
      <c r="AN18" s="86">
        <f t="shared" si="10"/>
        <v>72.2</v>
      </c>
      <c r="AO18" s="86">
        <f t="shared" si="10"/>
        <v>60.9</v>
      </c>
      <c r="AP18" s="86">
        <f t="shared" si="10"/>
        <v>66.2</v>
      </c>
      <c r="AQ18" s="86">
        <f t="shared" si="10"/>
        <v>52.8</v>
      </c>
      <c r="AR18" s="86">
        <f t="shared" si="10"/>
        <v>55.8</v>
      </c>
      <c r="AS18" s="86">
        <f t="shared" si="10"/>
        <v>40.2</v>
      </c>
      <c r="AT18" s="86">
        <f t="shared" si="10"/>
        <v>81.1</v>
      </c>
      <c r="AU18" s="86">
        <f t="shared" si="10"/>
        <v>66.4</v>
      </c>
      <c r="AV18" s="86">
        <f t="shared" si="10"/>
        <v>63.6</v>
      </c>
      <c r="AW18" s="86">
        <f t="shared" si="10"/>
        <v>42.5</v>
      </c>
      <c r="AX18" s="86">
        <f t="shared" si="10"/>
        <v>51.5</v>
      </c>
      <c r="AY18" s="86">
        <f t="shared" si="10"/>
        <v>52.7</v>
      </c>
      <c r="AZ18" s="87">
        <f t="shared" si="10"/>
        <v>55.9</v>
      </c>
      <c r="BA18" s="1"/>
      <c r="BD18" s="2"/>
      <c r="BF18" s="2"/>
      <c r="BH18" s="1"/>
      <c r="BI18" s="1"/>
      <c r="BJ18" s="1"/>
    </row>
    <row r="19" ht="14.25" customHeight="1">
      <c r="D19" s="26"/>
      <c r="E19" s="2"/>
      <c r="H19" s="88" t="s">
        <v>81</v>
      </c>
      <c r="I19" s="89"/>
      <c r="J19" s="90"/>
      <c r="K19" s="2"/>
      <c r="L19" s="2"/>
      <c r="M19" s="2"/>
      <c r="N19" s="1"/>
      <c r="O19" s="41">
        <f t="shared" ref="O19:AZ19" si="11">IF(SUM(O4:O14)&gt;0,MAX(O4:O14),"")</f>
        <v>94</v>
      </c>
      <c r="P19" s="21">
        <f t="shared" si="11"/>
        <v>109</v>
      </c>
      <c r="Q19" s="21">
        <f t="shared" si="11"/>
        <v>85</v>
      </c>
      <c r="R19" s="21">
        <f t="shared" si="11"/>
        <v>67</v>
      </c>
      <c r="S19" s="21">
        <f t="shared" si="11"/>
        <v>77</v>
      </c>
      <c r="T19" s="21">
        <f t="shared" si="11"/>
        <v>106</v>
      </c>
      <c r="U19" s="21">
        <f t="shared" si="11"/>
        <v>76</v>
      </c>
      <c r="V19" s="21">
        <f t="shared" si="11"/>
        <v>59</v>
      </c>
      <c r="W19" s="21">
        <f t="shared" si="11"/>
        <v>74</v>
      </c>
      <c r="X19" s="21">
        <f t="shared" si="11"/>
        <v>56</v>
      </c>
      <c r="Y19" s="21">
        <f t="shared" si="11"/>
        <v>79</v>
      </c>
      <c r="Z19" s="21">
        <f t="shared" si="11"/>
        <v>75</v>
      </c>
      <c r="AA19" s="21">
        <f t="shared" si="11"/>
        <v>91</v>
      </c>
      <c r="AB19" s="21">
        <f t="shared" si="11"/>
        <v>86</v>
      </c>
      <c r="AC19" s="21">
        <f t="shared" si="11"/>
        <v>80</v>
      </c>
      <c r="AD19" s="21">
        <f t="shared" si="11"/>
        <v>65</v>
      </c>
      <c r="AE19" s="21">
        <f t="shared" si="11"/>
        <v>83</v>
      </c>
      <c r="AF19" s="21">
        <f t="shared" si="11"/>
        <v>63</v>
      </c>
      <c r="AG19" s="21">
        <f t="shared" si="11"/>
        <v>93</v>
      </c>
      <c r="AH19" s="21">
        <f t="shared" si="11"/>
        <v>84</v>
      </c>
      <c r="AI19" s="21">
        <f t="shared" si="11"/>
        <v>93</v>
      </c>
      <c r="AJ19" s="21">
        <f t="shared" si="11"/>
        <v>59</v>
      </c>
      <c r="AK19" s="21">
        <f t="shared" si="11"/>
        <v>81</v>
      </c>
      <c r="AL19" s="21">
        <f t="shared" si="11"/>
        <v>140</v>
      </c>
      <c r="AM19" s="21">
        <f t="shared" si="11"/>
        <v>104</v>
      </c>
      <c r="AN19" s="21">
        <f t="shared" si="11"/>
        <v>86</v>
      </c>
      <c r="AO19" s="21">
        <f t="shared" si="11"/>
        <v>76</v>
      </c>
      <c r="AP19" s="21">
        <f t="shared" si="11"/>
        <v>94</v>
      </c>
      <c r="AQ19" s="21">
        <f t="shared" si="11"/>
        <v>90</v>
      </c>
      <c r="AR19" s="21">
        <f t="shared" si="11"/>
        <v>70</v>
      </c>
      <c r="AS19" s="21">
        <f t="shared" si="11"/>
        <v>53</v>
      </c>
      <c r="AT19" s="91">
        <f t="shared" si="11"/>
        <v>120</v>
      </c>
      <c r="AU19" s="91">
        <f t="shared" si="11"/>
        <v>82</v>
      </c>
      <c r="AV19" s="91">
        <f t="shared" si="11"/>
        <v>78</v>
      </c>
      <c r="AW19" s="91">
        <f t="shared" si="11"/>
        <v>50</v>
      </c>
      <c r="AX19" s="91">
        <f t="shared" si="11"/>
        <v>66</v>
      </c>
      <c r="AY19" s="91">
        <f t="shared" si="11"/>
        <v>74</v>
      </c>
      <c r="AZ19" s="92">
        <f t="shared" si="11"/>
        <v>74</v>
      </c>
      <c r="BA19" s="1"/>
      <c r="BD19" s="2"/>
      <c r="BF19" s="2"/>
      <c r="BH19" s="1"/>
      <c r="BI19" s="1"/>
      <c r="BJ19" s="1"/>
    </row>
    <row r="20" ht="14.25" customHeight="1">
      <c r="D20" s="26"/>
      <c r="E20" s="2"/>
      <c r="H20" s="93" t="s">
        <v>82</v>
      </c>
      <c r="I20" s="94"/>
      <c r="J20" s="95"/>
      <c r="K20" s="2"/>
      <c r="L20" s="2"/>
      <c r="M20" s="2"/>
      <c r="N20" s="1"/>
      <c r="O20" s="57">
        <f t="shared" ref="O20:AZ20" si="12">IF(SUM(O4:O14)&gt;0,MIN(O4:O14),"")</f>
        <v>37</v>
      </c>
      <c r="P20" s="53">
        <f t="shared" si="12"/>
        <v>42</v>
      </c>
      <c r="Q20" s="53">
        <f t="shared" si="12"/>
        <v>29</v>
      </c>
      <c r="R20" s="53">
        <f t="shared" si="12"/>
        <v>26</v>
      </c>
      <c r="S20" s="53">
        <f t="shared" si="12"/>
        <v>49</v>
      </c>
      <c r="T20" s="53">
        <f t="shared" si="12"/>
        <v>37</v>
      </c>
      <c r="U20" s="53">
        <f t="shared" si="12"/>
        <v>41</v>
      </c>
      <c r="V20" s="53">
        <f t="shared" si="12"/>
        <v>14</v>
      </c>
      <c r="W20" s="53">
        <f t="shared" si="12"/>
        <v>36</v>
      </c>
      <c r="X20" s="53">
        <f t="shared" si="12"/>
        <v>25</v>
      </c>
      <c r="Y20" s="53">
        <f t="shared" si="12"/>
        <v>27</v>
      </c>
      <c r="Z20" s="53">
        <f t="shared" si="12"/>
        <v>25</v>
      </c>
      <c r="AA20" s="53">
        <f t="shared" si="12"/>
        <v>53</v>
      </c>
      <c r="AB20" s="53">
        <f t="shared" si="12"/>
        <v>30</v>
      </c>
      <c r="AC20" s="53">
        <f t="shared" si="12"/>
        <v>30</v>
      </c>
      <c r="AD20" s="53">
        <f t="shared" si="12"/>
        <v>25</v>
      </c>
      <c r="AE20" s="53">
        <f t="shared" si="12"/>
        <v>25</v>
      </c>
      <c r="AF20" s="53">
        <f t="shared" si="12"/>
        <v>42</v>
      </c>
      <c r="AG20" s="53">
        <f t="shared" si="12"/>
        <v>38</v>
      </c>
      <c r="AH20" s="53">
        <f t="shared" si="12"/>
        <v>41</v>
      </c>
      <c r="AI20" s="53">
        <f t="shared" si="12"/>
        <v>51</v>
      </c>
      <c r="AJ20" s="53">
        <f t="shared" si="12"/>
        <v>26</v>
      </c>
      <c r="AK20" s="53">
        <f t="shared" si="12"/>
        <v>45</v>
      </c>
      <c r="AL20" s="53">
        <f t="shared" si="12"/>
        <v>39</v>
      </c>
      <c r="AM20" s="53">
        <f t="shared" si="12"/>
        <v>46</v>
      </c>
      <c r="AN20" s="53">
        <f t="shared" si="12"/>
        <v>53</v>
      </c>
      <c r="AO20" s="53">
        <f t="shared" si="12"/>
        <v>42</v>
      </c>
      <c r="AP20" s="53">
        <f t="shared" si="12"/>
        <v>47</v>
      </c>
      <c r="AQ20" s="53">
        <f t="shared" si="12"/>
        <v>29</v>
      </c>
      <c r="AR20" s="53">
        <f t="shared" si="12"/>
        <v>40</v>
      </c>
      <c r="AS20" s="53">
        <f t="shared" si="12"/>
        <v>25</v>
      </c>
      <c r="AT20" s="96">
        <f t="shared" si="12"/>
        <v>47</v>
      </c>
      <c r="AU20" s="96">
        <f t="shared" si="12"/>
        <v>45</v>
      </c>
      <c r="AV20" s="96">
        <f t="shared" si="12"/>
        <v>51</v>
      </c>
      <c r="AW20" s="96">
        <f t="shared" si="12"/>
        <v>34</v>
      </c>
      <c r="AX20" s="96">
        <f t="shared" si="12"/>
        <v>35</v>
      </c>
      <c r="AY20" s="96">
        <f t="shared" si="12"/>
        <v>43</v>
      </c>
      <c r="AZ20" s="97">
        <f t="shared" si="12"/>
        <v>38</v>
      </c>
      <c r="BA20" s="1"/>
      <c r="BD20" s="2"/>
      <c r="BF20" s="2"/>
      <c r="BH20" s="1"/>
      <c r="BI20" s="1"/>
      <c r="BJ20" s="1"/>
    </row>
    <row r="21" ht="14.25" customHeight="1">
      <c r="D21" s="26"/>
      <c r="E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</row>
    <row r="22" ht="14.25" customHeight="1">
      <c r="D22" s="26"/>
      <c r="E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</row>
    <row r="23" ht="14.25" customHeight="1">
      <c r="C23" s="2"/>
      <c r="D23" s="26"/>
      <c r="E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</row>
    <row r="24" ht="14.25" customHeight="1">
      <c r="C24" s="2"/>
      <c r="D24" s="26"/>
      <c r="E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</row>
    <row r="25" ht="14.25" customHeight="1">
      <c r="D25" s="26"/>
      <c r="E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</row>
    <row r="26" ht="14.25" customHeight="1">
      <c r="D26" s="26"/>
      <c r="E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</row>
    <row r="27" ht="14.25" customHeight="1">
      <c r="D27" s="26"/>
      <c r="E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</row>
    <row r="28" ht="14.25" customHeight="1">
      <c r="D28" s="26"/>
      <c r="E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</row>
    <row r="29" ht="14.25" customHeight="1">
      <c r="D29" s="26"/>
      <c r="E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</row>
    <row r="30" ht="14.25" customHeight="1">
      <c r="D30" s="26"/>
      <c r="E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</row>
    <row r="31" ht="14.25" customHeight="1">
      <c r="D31" s="26"/>
      <c r="E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</row>
    <row r="32" ht="14.25" customHeight="1">
      <c r="D32" s="26"/>
      <c r="E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</row>
    <row r="33" ht="14.25" customHeight="1">
      <c r="D33" s="26"/>
      <c r="E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</row>
    <row r="34" ht="14.25" customHeight="1">
      <c r="D34" s="26"/>
      <c r="E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</row>
    <row r="35" ht="14.25" customHeight="1">
      <c r="D35" s="26"/>
      <c r="E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</row>
    <row r="36" ht="14.25" customHeight="1">
      <c r="D36" s="26"/>
      <c r="E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</row>
    <row r="37" ht="14.25" customHeight="1">
      <c r="D37" s="26"/>
      <c r="E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</row>
    <row r="38" ht="14.25" customHeight="1">
      <c r="D38" s="26"/>
      <c r="E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</row>
    <row r="39" ht="14.25" customHeight="1">
      <c r="D39" s="26"/>
      <c r="E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</row>
    <row r="40" ht="14.25" customHeight="1">
      <c r="D40" s="26"/>
      <c r="E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</row>
    <row r="41" ht="14.25" customHeight="1">
      <c r="D41" s="26"/>
      <c r="E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</row>
    <row r="42" ht="14.25" customHeight="1">
      <c r="D42" s="26"/>
      <c r="E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</row>
    <row r="43" ht="14.25" customHeight="1">
      <c r="D43" s="26"/>
      <c r="E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</row>
    <row r="44" ht="14.25" customHeight="1">
      <c r="D44" s="26"/>
      <c r="E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</row>
    <row r="45" ht="14.25" customHeight="1">
      <c r="D45" s="26"/>
      <c r="E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</row>
    <row r="46" ht="14.25" customHeight="1">
      <c r="D46" s="26"/>
      <c r="E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</row>
    <row r="47" ht="14.25" customHeight="1">
      <c r="E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</row>
    <row r="48" ht="14.25" customHeight="1">
      <c r="E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</row>
    <row r="49" ht="14.25" customHeight="1">
      <c r="E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</row>
    <row r="50" ht="14.25" customHeight="1">
      <c r="E50" s="2"/>
      <c r="K50" s="2"/>
      <c r="L50" s="2"/>
      <c r="M50" s="2"/>
      <c r="N50" s="2"/>
      <c r="AD50" s="2"/>
      <c r="AE50" s="2"/>
      <c r="BA50" s="2"/>
      <c r="BD50" s="2"/>
      <c r="BF50" s="2"/>
      <c r="BH50" s="2"/>
      <c r="BI50" s="2"/>
      <c r="BJ50" s="2"/>
    </row>
    <row r="51" ht="14.25" customHeight="1">
      <c r="E51" s="2"/>
      <c r="K51" s="2"/>
      <c r="L51" s="2"/>
      <c r="M51" s="2"/>
      <c r="N51" s="2"/>
      <c r="AD51" s="2"/>
      <c r="AE51" s="2"/>
      <c r="BA51" s="2"/>
      <c r="BD51" s="2"/>
      <c r="BF51" s="2"/>
      <c r="BH51" s="2"/>
      <c r="BI51" s="2"/>
      <c r="BJ51" s="2"/>
    </row>
    <row r="52" ht="14.25" customHeight="1">
      <c r="E52" s="2"/>
      <c r="K52" s="2"/>
      <c r="L52" s="2"/>
      <c r="M52" s="2"/>
      <c r="N52" s="2"/>
      <c r="AD52" s="2"/>
      <c r="AE52" s="2"/>
      <c r="BA52" s="2"/>
      <c r="BD52" s="2"/>
      <c r="BF52" s="2"/>
      <c r="BH52" s="2"/>
      <c r="BI52" s="2"/>
      <c r="BJ52" s="2"/>
    </row>
    <row r="53" ht="14.25" customHeight="1">
      <c r="E53" s="2"/>
      <c r="K53" s="2"/>
      <c r="L53" s="2"/>
      <c r="M53" s="2"/>
      <c r="N53" s="2"/>
      <c r="AD53" s="2"/>
      <c r="AE53" s="2"/>
      <c r="BA53" s="2"/>
      <c r="BD53" s="2"/>
      <c r="BF53" s="2"/>
      <c r="BH53" s="2"/>
      <c r="BI53" s="2"/>
      <c r="BJ53" s="2"/>
    </row>
    <row r="54" ht="14.25" customHeight="1">
      <c r="E54" s="2"/>
      <c r="K54" s="2"/>
      <c r="L54" s="2"/>
      <c r="M54" s="2"/>
      <c r="N54" s="2"/>
      <c r="AD54" s="2"/>
      <c r="AE54" s="2"/>
      <c r="BA54" s="2"/>
      <c r="BD54" s="2"/>
      <c r="BF54" s="2"/>
      <c r="BH54" s="2"/>
      <c r="BI54" s="2"/>
      <c r="BJ54" s="2"/>
    </row>
    <row r="55" ht="14.25" customHeight="1">
      <c r="E55" s="2"/>
      <c r="K55" s="2"/>
      <c r="L55" s="2"/>
      <c r="M55" s="2"/>
      <c r="N55" s="2"/>
      <c r="AD55" s="2"/>
      <c r="AE55" s="2"/>
      <c r="BA55" s="2"/>
      <c r="BD55" s="2"/>
      <c r="BF55" s="2"/>
      <c r="BH55" s="2"/>
      <c r="BI55" s="2"/>
      <c r="BJ55" s="2"/>
    </row>
    <row r="56" ht="14.25" customHeight="1">
      <c r="E56" s="2"/>
      <c r="K56" s="2"/>
      <c r="L56" s="2"/>
      <c r="M56" s="2"/>
      <c r="N56" s="2"/>
      <c r="AD56" s="2"/>
      <c r="AE56" s="2"/>
      <c r="BA56" s="2"/>
      <c r="BD56" s="2"/>
      <c r="BF56" s="2"/>
      <c r="BH56" s="2"/>
      <c r="BI56" s="2"/>
      <c r="BJ56" s="2"/>
    </row>
    <row r="57" ht="14.25" customHeight="1">
      <c r="E57" s="2"/>
      <c r="K57" s="2"/>
      <c r="L57" s="2"/>
      <c r="M57" s="2"/>
      <c r="N57" s="2"/>
      <c r="AD57" s="2"/>
      <c r="AE57" s="2"/>
      <c r="BA57" s="2"/>
      <c r="BD57" s="2"/>
      <c r="BF57" s="2"/>
      <c r="BH57" s="2"/>
      <c r="BI57" s="2"/>
      <c r="BJ57" s="2"/>
    </row>
    <row r="58" ht="14.25" customHeight="1">
      <c r="E58" s="2"/>
      <c r="K58" s="2"/>
      <c r="L58" s="2"/>
      <c r="M58" s="2"/>
      <c r="N58" s="2"/>
      <c r="AD58" s="2"/>
      <c r="AE58" s="2"/>
      <c r="BA58" s="2"/>
      <c r="BD58" s="2"/>
      <c r="BF58" s="2"/>
      <c r="BH58" s="2"/>
      <c r="BI58" s="2"/>
      <c r="BJ58" s="2"/>
    </row>
    <row r="59" ht="14.25" customHeight="1">
      <c r="E59" s="2"/>
      <c r="K59" s="2"/>
      <c r="L59" s="2"/>
      <c r="M59" s="2"/>
      <c r="N59" s="2"/>
      <c r="AD59" s="2"/>
      <c r="AE59" s="2"/>
      <c r="BA59" s="2"/>
      <c r="BD59" s="2"/>
      <c r="BF59" s="2"/>
      <c r="BH59" s="2"/>
      <c r="BI59" s="2"/>
      <c r="BJ59" s="2"/>
    </row>
    <row r="60" ht="14.25" customHeight="1">
      <c r="E60" s="2"/>
      <c r="K60" s="2"/>
      <c r="L60" s="2"/>
      <c r="M60" s="2"/>
      <c r="N60" s="2"/>
      <c r="AD60" s="2"/>
      <c r="AE60" s="2"/>
      <c r="BA60" s="2"/>
      <c r="BD60" s="2"/>
      <c r="BF60" s="2"/>
      <c r="BH60" s="2"/>
      <c r="BI60" s="2"/>
      <c r="BJ60" s="2"/>
    </row>
    <row r="61" ht="14.25" customHeight="1">
      <c r="E61" s="2"/>
      <c r="K61" s="2"/>
      <c r="L61" s="2"/>
      <c r="M61" s="2"/>
      <c r="N61" s="2"/>
      <c r="AD61" s="2"/>
      <c r="AE61" s="2"/>
      <c r="BA61" s="2"/>
      <c r="BD61" s="2"/>
      <c r="BF61" s="2"/>
      <c r="BH61" s="2"/>
      <c r="BI61" s="2"/>
      <c r="BJ61" s="2"/>
    </row>
    <row r="62" ht="14.25" customHeight="1">
      <c r="E62" s="2"/>
      <c r="K62" s="2"/>
      <c r="L62" s="2"/>
      <c r="M62" s="2"/>
      <c r="N62" s="2"/>
      <c r="AD62" s="2"/>
      <c r="AE62" s="2"/>
      <c r="BA62" s="2"/>
      <c r="BD62" s="2"/>
      <c r="BF62" s="2"/>
      <c r="BH62" s="2"/>
      <c r="BI62" s="2"/>
      <c r="BJ62" s="2"/>
    </row>
    <row r="63" ht="14.25" customHeight="1">
      <c r="E63" s="2"/>
      <c r="K63" s="2"/>
      <c r="L63" s="2"/>
      <c r="M63" s="2"/>
      <c r="N63" s="2"/>
      <c r="AD63" s="2"/>
      <c r="AE63" s="2"/>
      <c r="BA63" s="2"/>
      <c r="BD63" s="2"/>
      <c r="BF63" s="2"/>
      <c r="BH63" s="2"/>
      <c r="BI63" s="2"/>
      <c r="BJ63" s="2"/>
    </row>
    <row r="64" ht="14.25" customHeight="1">
      <c r="E64" s="2"/>
      <c r="K64" s="2"/>
      <c r="L64" s="2"/>
      <c r="M64" s="2"/>
      <c r="N64" s="2"/>
      <c r="AD64" s="2"/>
      <c r="AE64" s="2"/>
      <c r="BA64" s="2"/>
      <c r="BD64" s="2"/>
      <c r="BF64" s="2"/>
      <c r="BH64" s="2"/>
      <c r="BI64" s="2"/>
      <c r="BJ64" s="2"/>
    </row>
    <row r="65" ht="14.25" customHeight="1">
      <c r="E65" s="2"/>
      <c r="K65" s="2"/>
      <c r="L65" s="2"/>
      <c r="M65" s="2"/>
      <c r="N65" s="2"/>
      <c r="AD65" s="2"/>
      <c r="AE65" s="2"/>
      <c r="BA65" s="2"/>
      <c r="BD65" s="2"/>
      <c r="BF65" s="2"/>
      <c r="BH65" s="2"/>
      <c r="BI65" s="2"/>
      <c r="BJ65" s="2"/>
    </row>
    <row r="66" ht="14.25" customHeight="1">
      <c r="E66" s="2"/>
      <c r="K66" s="2"/>
      <c r="L66" s="2"/>
      <c r="M66" s="2"/>
      <c r="N66" s="2"/>
      <c r="AD66" s="2"/>
      <c r="AE66" s="2"/>
      <c r="BA66" s="2"/>
      <c r="BD66" s="2"/>
      <c r="BF66" s="2"/>
      <c r="BH66" s="2"/>
      <c r="BI66" s="2"/>
      <c r="BJ66" s="2"/>
    </row>
    <row r="67" ht="14.25" customHeight="1">
      <c r="E67" s="2"/>
      <c r="K67" s="2"/>
      <c r="L67" s="2"/>
      <c r="M67" s="2"/>
      <c r="N67" s="2"/>
      <c r="AD67" s="2"/>
      <c r="AE67" s="2"/>
      <c r="BA67" s="2"/>
      <c r="BD67" s="2"/>
      <c r="BF67" s="2"/>
      <c r="BH67" s="2"/>
      <c r="BI67" s="2"/>
      <c r="BJ67" s="2"/>
    </row>
    <row r="68" ht="14.25" customHeight="1">
      <c r="E68" s="2"/>
      <c r="K68" s="2"/>
      <c r="L68" s="2"/>
      <c r="M68" s="2"/>
      <c r="N68" s="2"/>
      <c r="AD68" s="2"/>
      <c r="AE68" s="2"/>
      <c r="BA68" s="2"/>
      <c r="BD68" s="2"/>
      <c r="BF68" s="2"/>
      <c r="BH68" s="2"/>
      <c r="BI68" s="2"/>
      <c r="BJ68" s="2"/>
    </row>
    <row r="69" ht="14.25" customHeight="1">
      <c r="E69" s="2"/>
      <c r="K69" s="2"/>
      <c r="L69" s="2"/>
      <c r="M69" s="2"/>
      <c r="N69" s="2"/>
      <c r="AD69" s="2"/>
      <c r="AE69" s="2"/>
      <c r="BA69" s="2"/>
      <c r="BD69" s="2"/>
      <c r="BF69" s="2"/>
      <c r="BH69" s="2"/>
      <c r="BI69" s="2"/>
      <c r="BJ69" s="2"/>
    </row>
    <row r="70" ht="14.25" customHeight="1">
      <c r="E70" s="2"/>
      <c r="K70" s="2"/>
      <c r="L70" s="2"/>
      <c r="M70" s="2"/>
      <c r="N70" s="2"/>
      <c r="AD70" s="2"/>
      <c r="AE70" s="2"/>
      <c r="BA70" s="2"/>
      <c r="BD70" s="2"/>
      <c r="BF70" s="2"/>
      <c r="BH70" s="2"/>
      <c r="BI70" s="2"/>
      <c r="BJ70" s="2"/>
    </row>
    <row r="71" ht="14.25" customHeight="1">
      <c r="E71" s="2"/>
      <c r="K71" s="2"/>
      <c r="L71" s="2"/>
      <c r="M71" s="2"/>
      <c r="N71" s="2"/>
      <c r="AD71" s="2"/>
      <c r="AE71" s="2"/>
      <c r="BA71" s="2"/>
      <c r="BD71" s="2"/>
      <c r="BF71" s="2"/>
      <c r="BH71" s="2"/>
      <c r="BI71" s="2"/>
      <c r="BJ71" s="2"/>
    </row>
    <row r="72" ht="14.25" customHeight="1">
      <c r="E72" s="2"/>
      <c r="K72" s="2"/>
      <c r="L72" s="2"/>
      <c r="M72" s="2"/>
      <c r="N72" s="2"/>
      <c r="AD72" s="2"/>
      <c r="AE72" s="2"/>
      <c r="BA72" s="2"/>
      <c r="BD72" s="2"/>
      <c r="BF72" s="2"/>
      <c r="BH72" s="2"/>
      <c r="BI72" s="2"/>
      <c r="BJ72" s="2"/>
    </row>
    <row r="73" ht="14.25" customHeight="1">
      <c r="E73" s="2"/>
      <c r="K73" s="2"/>
      <c r="L73" s="2"/>
      <c r="M73" s="2"/>
      <c r="N73" s="2"/>
      <c r="AD73" s="2"/>
      <c r="AE73" s="2"/>
      <c r="BA73" s="2"/>
      <c r="BD73" s="2"/>
      <c r="BF73" s="2"/>
      <c r="BH73" s="2"/>
      <c r="BI73" s="2"/>
      <c r="BJ73" s="2"/>
    </row>
    <row r="74" ht="14.25" customHeight="1">
      <c r="E74" s="2"/>
      <c r="K74" s="2"/>
      <c r="L74" s="2"/>
      <c r="M74" s="2"/>
      <c r="N74" s="2"/>
      <c r="AD74" s="2"/>
      <c r="AE74" s="2"/>
      <c r="BA74" s="2"/>
      <c r="BD74" s="2"/>
      <c r="BF74" s="2"/>
      <c r="BH74" s="2"/>
      <c r="BI74" s="2"/>
      <c r="BJ74" s="2"/>
    </row>
    <row r="75" ht="14.25" customHeight="1">
      <c r="E75" s="2"/>
      <c r="K75" s="2"/>
      <c r="L75" s="2"/>
      <c r="M75" s="2"/>
      <c r="N75" s="2"/>
      <c r="AD75" s="2"/>
      <c r="AE75" s="2"/>
      <c r="BA75" s="2"/>
      <c r="BD75" s="2"/>
      <c r="BF75" s="2"/>
      <c r="BH75" s="2"/>
      <c r="BI75" s="2"/>
      <c r="BJ75" s="2"/>
    </row>
    <row r="76" ht="14.25" customHeight="1">
      <c r="E76" s="2"/>
      <c r="K76" s="2"/>
      <c r="L76" s="2"/>
      <c r="M76" s="2"/>
      <c r="N76" s="2"/>
      <c r="AD76" s="2"/>
      <c r="AE76" s="2"/>
      <c r="BA76" s="2"/>
      <c r="BD76" s="2"/>
      <c r="BF76" s="2"/>
      <c r="BH76" s="2"/>
      <c r="BI76" s="2"/>
      <c r="BJ76" s="2"/>
    </row>
    <row r="77" ht="14.25" customHeight="1">
      <c r="E77" s="2"/>
      <c r="K77" s="2"/>
      <c r="L77" s="2"/>
      <c r="M77" s="2"/>
      <c r="N77" s="2"/>
      <c r="AD77" s="2"/>
      <c r="AE77" s="2"/>
      <c r="BA77" s="2"/>
      <c r="BD77" s="2"/>
      <c r="BF77" s="2"/>
      <c r="BH77" s="2"/>
      <c r="BI77" s="2"/>
      <c r="BJ77" s="2"/>
    </row>
    <row r="78" ht="14.25" customHeight="1">
      <c r="E78" s="2"/>
      <c r="K78" s="2"/>
      <c r="L78" s="2"/>
      <c r="M78" s="2"/>
      <c r="N78" s="2"/>
      <c r="AD78" s="2"/>
      <c r="AE78" s="2"/>
      <c r="BA78" s="2"/>
      <c r="BD78" s="2"/>
      <c r="BF78" s="2"/>
      <c r="BH78" s="2"/>
      <c r="BI78" s="2"/>
      <c r="BJ78" s="2"/>
    </row>
    <row r="79" ht="14.25" customHeight="1">
      <c r="E79" s="2"/>
      <c r="K79" s="2"/>
      <c r="L79" s="2"/>
      <c r="M79" s="2"/>
      <c r="N79" s="2"/>
      <c r="AD79" s="2"/>
      <c r="AE79" s="2"/>
      <c r="BA79" s="2"/>
      <c r="BD79" s="2"/>
      <c r="BF79" s="2"/>
      <c r="BH79" s="2"/>
      <c r="BI79" s="2"/>
      <c r="BJ79" s="2"/>
    </row>
    <row r="80" ht="14.25" customHeight="1">
      <c r="E80" s="2"/>
      <c r="K80" s="2"/>
      <c r="L80" s="2"/>
      <c r="M80" s="2"/>
      <c r="N80" s="2"/>
      <c r="AD80" s="2"/>
      <c r="AE80" s="2"/>
      <c r="BA80" s="2"/>
      <c r="BD80" s="2"/>
      <c r="BF80" s="2"/>
      <c r="BH80" s="2"/>
      <c r="BI80" s="2"/>
      <c r="BJ80" s="2"/>
    </row>
    <row r="81" ht="14.25" customHeight="1">
      <c r="E81" s="2"/>
      <c r="K81" s="2"/>
      <c r="L81" s="2"/>
      <c r="M81" s="2"/>
      <c r="N81" s="2"/>
      <c r="AD81" s="2"/>
      <c r="AE81" s="2"/>
      <c r="BA81" s="2"/>
      <c r="BD81" s="2"/>
      <c r="BF81" s="2"/>
      <c r="BH81" s="2"/>
      <c r="BI81" s="2"/>
      <c r="BJ81" s="2"/>
    </row>
    <row r="82" ht="14.25" customHeight="1">
      <c r="E82" s="2"/>
      <c r="K82" s="2"/>
      <c r="L82" s="2"/>
      <c r="M82" s="2"/>
      <c r="N82" s="2"/>
      <c r="AD82" s="2"/>
      <c r="AE82" s="2"/>
      <c r="BA82" s="2"/>
      <c r="BD82" s="2"/>
      <c r="BF82" s="2"/>
      <c r="BH82" s="2"/>
      <c r="BI82" s="2"/>
      <c r="BJ82" s="2"/>
    </row>
    <row r="83" ht="14.25" customHeight="1">
      <c r="E83" s="2"/>
      <c r="K83" s="2"/>
      <c r="L83" s="2"/>
      <c r="M83" s="2"/>
      <c r="N83" s="2"/>
      <c r="AD83" s="2"/>
      <c r="AE83" s="2"/>
      <c r="BA83" s="2"/>
      <c r="BD83" s="2"/>
      <c r="BF83" s="2"/>
      <c r="BH83" s="2"/>
      <c r="BI83" s="2"/>
      <c r="BJ83" s="2"/>
    </row>
    <row r="84" ht="14.25" customHeight="1">
      <c r="E84" s="2"/>
      <c r="K84" s="2"/>
      <c r="L84" s="2"/>
      <c r="M84" s="2"/>
      <c r="N84" s="2"/>
      <c r="AD84" s="2"/>
      <c r="AE84" s="2"/>
      <c r="BA84" s="2"/>
      <c r="BD84" s="2"/>
      <c r="BF84" s="2"/>
      <c r="BH84" s="2"/>
      <c r="BI84" s="2"/>
      <c r="BJ84" s="2"/>
    </row>
    <row r="85" ht="14.25" customHeight="1">
      <c r="E85" s="2"/>
      <c r="K85" s="2"/>
      <c r="L85" s="2"/>
      <c r="M85" s="2"/>
      <c r="N85" s="2"/>
      <c r="AD85" s="2"/>
      <c r="AE85" s="2"/>
      <c r="BA85" s="2"/>
      <c r="BD85" s="2"/>
      <c r="BF85" s="2"/>
      <c r="BH85" s="2"/>
      <c r="BI85" s="2"/>
      <c r="BJ85" s="2"/>
    </row>
    <row r="86" ht="14.25" customHeight="1">
      <c r="E86" s="2"/>
      <c r="K86" s="2"/>
      <c r="L86" s="2"/>
      <c r="M86" s="2"/>
      <c r="N86" s="2"/>
      <c r="AD86" s="2"/>
      <c r="AE86" s="2"/>
      <c r="BA86" s="2"/>
      <c r="BD86" s="2"/>
      <c r="BF86" s="2"/>
      <c r="BH86" s="2"/>
      <c r="BI86" s="2"/>
      <c r="BJ86" s="2"/>
    </row>
    <row r="87" ht="14.25" customHeight="1">
      <c r="E87" s="2"/>
      <c r="K87" s="2"/>
      <c r="L87" s="2"/>
      <c r="M87" s="2"/>
      <c r="N87" s="2"/>
      <c r="AD87" s="2"/>
      <c r="AE87" s="2"/>
      <c r="BA87" s="2"/>
      <c r="BD87" s="2"/>
      <c r="BF87" s="2"/>
      <c r="BH87" s="2"/>
      <c r="BI87" s="2"/>
      <c r="BJ87" s="2"/>
    </row>
    <row r="88" ht="14.25" customHeight="1">
      <c r="E88" s="2"/>
      <c r="K88" s="2"/>
      <c r="L88" s="2"/>
      <c r="M88" s="2"/>
      <c r="N88" s="2"/>
      <c r="AD88" s="2"/>
      <c r="AE88" s="2"/>
      <c r="BA88" s="2"/>
      <c r="BD88" s="2"/>
      <c r="BF88" s="2"/>
      <c r="BH88" s="2"/>
      <c r="BI88" s="2"/>
      <c r="BJ88" s="2"/>
    </row>
    <row r="89" ht="14.25" customHeight="1">
      <c r="E89" s="2"/>
      <c r="K89" s="2"/>
      <c r="L89" s="2"/>
      <c r="M89" s="2"/>
      <c r="N89" s="2"/>
      <c r="AD89" s="2"/>
      <c r="AE89" s="2"/>
      <c r="BA89" s="2"/>
      <c r="BD89" s="2"/>
      <c r="BF89" s="2"/>
      <c r="BH89" s="2"/>
      <c r="BI89" s="2"/>
      <c r="BJ89" s="2"/>
    </row>
    <row r="90" ht="14.25" customHeight="1">
      <c r="E90" s="2"/>
      <c r="K90" s="2"/>
      <c r="L90" s="2"/>
      <c r="M90" s="2"/>
      <c r="N90" s="2"/>
      <c r="AD90" s="2"/>
      <c r="AE90" s="2"/>
      <c r="BA90" s="2"/>
      <c r="BD90" s="2"/>
      <c r="BF90" s="2"/>
      <c r="BH90" s="2"/>
      <c r="BI90" s="2"/>
      <c r="BJ90" s="2"/>
    </row>
    <row r="91" ht="14.25" customHeight="1">
      <c r="E91" s="2"/>
      <c r="K91" s="2"/>
      <c r="L91" s="2"/>
      <c r="M91" s="2"/>
      <c r="N91" s="2"/>
      <c r="AD91" s="2"/>
      <c r="AE91" s="2"/>
      <c r="BA91" s="2"/>
      <c r="BD91" s="2"/>
      <c r="BF91" s="2"/>
      <c r="BH91" s="2"/>
      <c r="BI91" s="2"/>
      <c r="BJ91" s="2"/>
    </row>
    <row r="92" ht="14.25" customHeight="1">
      <c r="E92" s="2"/>
      <c r="K92" s="2"/>
      <c r="L92" s="2"/>
      <c r="M92" s="2"/>
      <c r="N92" s="2"/>
      <c r="AD92" s="2"/>
      <c r="AE92" s="2"/>
      <c r="BA92" s="2"/>
      <c r="BD92" s="2"/>
      <c r="BF92" s="2"/>
      <c r="BH92" s="2"/>
      <c r="BI92" s="2"/>
      <c r="BJ92" s="2"/>
    </row>
    <row r="93" ht="14.25" customHeight="1">
      <c r="E93" s="2"/>
      <c r="K93" s="2"/>
      <c r="L93" s="2"/>
      <c r="M93" s="2"/>
      <c r="N93" s="2"/>
      <c r="AD93" s="2"/>
      <c r="AE93" s="2"/>
      <c r="BA93" s="2"/>
      <c r="BD93" s="2"/>
      <c r="BF93" s="2"/>
      <c r="BH93" s="2"/>
      <c r="BI93" s="2"/>
      <c r="BJ93" s="2"/>
    </row>
    <row r="94" ht="14.25" customHeight="1">
      <c r="E94" s="2"/>
      <c r="K94" s="2"/>
      <c r="L94" s="2"/>
      <c r="M94" s="2"/>
      <c r="N94" s="2"/>
      <c r="AD94" s="2"/>
      <c r="AE94" s="2"/>
      <c r="BA94" s="2"/>
      <c r="BD94" s="2"/>
      <c r="BF94" s="2"/>
      <c r="BH94" s="2"/>
      <c r="BI94" s="2"/>
      <c r="BJ94" s="2"/>
    </row>
    <row r="95" ht="14.25" customHeight="1">
      <c r="E95" s="2"/>
      <c r="K95" s="2"/>
      <c r="L95" s="2"/>
      <c r="M95" s="2"/>
      <c r="N95" s="2"/>
      <c r="AD95" s="2"/>
      <c r="AE95" s="2"/>
      <c r="BA95" s="2"/>
      <c r="BD95" s="2"/>
      <c r="BF95" s="2"/>
      <c r="BH95" s="2"/>
      <c r="BI95" s="2"/>
      <c r="BJ95" s="2"/>
    </row>
    <row r="96" ht="14.25" customHeight="1">
      <c r="E96" s="2"/>
      <c r="K96" s="2"/>
      <c r="L96" s="2"/>
      <c r="M96" s="2"/>
      <c r="N96" s="2"/>
      <c r="AD96" s="2"/>
      <c r="AE96" s="2"/>
      <c r="BA96" s="2"/>
      <c r="BD96" s="2"/>
      <c r="BF96" s="2"/>
      <c r="BH96" s="2"/>
      <c r="BI96" s="2"/>
      <c r="BJ96" s="2"/>
    </row>
    <row r="97" ht="14.25" customHeight="1">
      <c r="E97" s="2"/>
      <c r="K97" s="2"/>
      <c r="L97" s="2"/>
      <c r="M97" s="2"/>
      <c r="N97" s="2"/>
      <c r="AD97" s="2"/>
      <c r="AE97" s="2"/>
      <c r="BA97" s="2"/>
      <c r="BD97" s="2"/>
      <c r="BF97" s="2"/>
      <c r="BH97" s="2"/>
      <c r="BI97" s="2"/>
      <c r="BJ97" s="2"/>
    </row>
    <row r="98" ht="14.25" customHeight="1">
      <c r="E98" s="2"/>
      <c r="K98" s="2"/>
      <c r="L98" s="2"/>
      <c r="M98" s="2"/>
      <c r="N98" s="2"/>
      <c r="AD98" s="2"/>
      <c r="AE98" s="2"/>
      <c r="BA98" s="2"/>
      <c r="BD98" s="2"/>
      <c r="BF98" s="2"/>
      <c r="BH98" s="2"/>
      <c r="BI98" s="2"/>
      <c r="BJ98" s="2"/>
    </row>
    <row r="99" ht="14.25" customHeight="1">
      <c r="E99" s="2"/>
      <c r="K99" s="2"/>
      <c r="L99" s="2"/>
      <c r="M99" s="2"/>
      <c r="N99" s="2"/>
      <c r="AD99" s="2"/>
      <c r="AE99" s="2"/>
      <c r="BA99" s="2"/>
      <c r="BD99" s="2"/>
      <c r="BF99" s="2"/>
      <c r="BH99" s="2"/>
      <c r="BI99" s="2"/>
      <c r="BJ99" s="2"/>
    </row>
    <row r="100" ht="14.25" customHeight="1">
      <c r="E100" s="2"/>
      <c r="K100" s="2"/>
      <c r="L100" s="2"/>
      <c r="M100" s="2"/>
      <c r="N100" s="2"/>
      <c r="AD100" s="2"/>
      <c r="AE100" s="2"/>
      <c r="BA100" s="2"/>
      <c r="BD100" s="2"/>
      <c r="BF100" s="2"/>
      <c r="BH100" s="2"/>
      <c r="BI100" s="2"/>
      <c r="BJ100" s="2"/>
    </row>
    <row r="101" ht="14.25" customHeight="1">
      <c r="E101" s="2"/>
      <c r="K101" s="2"/>
      <c r="L101" s="2"/>
      <c r="M101" s="2"/>
      <c r="N101" s="2"/>
      <c r="AD101" s="2"/>
      <c r="AE101" s="2"/>
      <c r="BA101" s="2"/>
      <c r="BD101" s="2"/>
      <c r="BF101" s="2"/>
      <c r="BH101" s="2"/>
      <c r="BI101" s="2"/>
      <c r="BJ101" s="2"/>
    </row>
    <row r="102" ht="14.25" customHeight="1">
      <c r="E102" s="2"/>
      <c r="K102" s="2"/>
      <c r="L102" s="2"/>
      <c r="M102" s="2"/>
      <c r="N102" s="2"/>
      <c r="AD102" s="2"/>
      <c r="AE102" s="2"/>
      <c r="BA102" s="2"/>
      <c r="BD102" s="2"/>
      <c r="BF102" s="2"/>
      <c r="BH102" s="2"/>
      <c r="BI102" s="2"/>
      <c r="BJ102" s="2"/>
    </row>
    <row r="103" ht="14.25" customHeight="1">
      <c r="E103" s="2"/>
      <c r="K103" s="2"/>
      <c r="L103" s="2"/>
      <c r="M103" s="2"/>
      <c r="N103" s="2"/>
      <c r="AD103" s="2"/>
      <c r="AE103" s="2"/>
      <c r="BA103" s="2"/>
      <c r="BD103" s="2"/>
      <c r="BF103" s="2"/>
      <c r="BH103" s="2"/>
      <c r="BI103" s="2"/>
      <c r="BJ103" s="2"/>
    </row>
    <row r="104" ht="14.25" customHeight="1">
      <c r="E104" s="2"/>
      <c r="K104" s="2"/>
      <c r="L104" s="2"/>
      <c r="M104" s="2"/>
      <c r="N104" s="2"/>
      <c r="AD104" s="2"/>
      <c r="AE104" s="2"/>
      <c r="BA104" s="2"/>
      <c r="BD104" s="2"/>
      <c r="BF104" s="2"/>
      <c r="BH104" s="2"/>
      <c r="BI104" s="2"/>
      <c r="BJ104" s="2"/>
    </row>
    <row r="105" ht="14.25" customHeight="1">
      <c r="E105" s="2"/>
      <c r="K105" s="2"/>
      <c r="L105" s="2"/>
      <c r="M105" s="2"/>
      <c r="N105" s="2"/>
      <c r="AD105" s="2"/>
      <c r="AE105" s="2"/>
      <c r="BA105" s="2"/>
      <c r="BD105" s="2"/>
      <c r="BF105" s="2"/>
      <c r="BH105" s="2"/>
      <c r="BI105" s="2"/>
      <c r="BJ105" s="2"/>
    </row>
    <row r="106" ht="14.25" customHeight="1">
      <c r="E106" s="2"/>
      <c r="K106" s="2"/>
      <c r="L106" s="2"/>
      <c r="M106" s="2"/>
      <c r="N106" s="2"/>
      <c r="AD106" s="2"/>
      <c r="AE106" s="2"/>
      <c r="BA106" s="2"/>
      <c r="BD106" s="2"/>
      <c r="BF106" s="2"/>
      <c r="BH106" s="2"/>
      <c r="BI106" s="2"/>
      <c r="BJ106" s="2"/>
    </row>
    <row r="107" ht="14.25" customHeight="1">
      <c r="E107" s="2"/>
      <c r="K107" s="2"/>
      <c r="L107" s="2"/>
      <c r="M107" s="2"/>
      <c r="N107" s="2"/>
      <c r="AD107" s="2"/>
      <c r="AE107" s="2"/>
      <c r="BA107" s="2"/>
      <c r="BD107" s="2"/>
      <c r="BF107" s="2"/>
      <c r="BH107" s="2"/>
      <c r="BI107" s="2"/>
      <c r="BJ107" s="2"/>
    </row>
    <row r="108" ht="14.25" customHeight="1">
      <c r="E108" s="2"/>
      <c r="K108" s="2"/>
      <c r="L108" s="2"/>
      <c r="M108" s="2"/>
      <c r="N108" s="2"/>
      <c r="AD108" s="2"/>
      <c r="AE108" s="2"/>
      <c r="BA108" s="2"/>
      <c r="BD108" s="2"/>
      <c r="BF108" s="2"/>
      <c r="BH108" s="2"/>
      <c r="BI108" s="2"/>
      <c r="BJ108" s="2"/>
    </row>
    <row r="109" ht="14.25" customHeight="1">
      <c r="E109" s="2"/>
      <c r="K109" s="2"/>
      <c r="L109" s="2"/>
      <c r="M109" s="2"/>
      <c r="N109" s="2"/>
      <c r="AD109" s="2"/>
      <c r="AE109" s="2"/>
      <c r="BA109" s="2"/>
      <c r="BD109" s="2"/>
      <c r="BF109" s="2"/>
      <c r="BH109" s="2"/>
      <c r="BI109" s="2"/>
      <c r="BJ109" s="2"/>
    </row>
    <row r="110" ht="14.25" customHeight="1">
      <c r="E110" s="2"/>
      <c r="K110" s="2"/>
      <c r="L110" s="2"/>
      <c r="M110" s="2"/>
      <c r="N110" s="2"/>
      <c r="AD110" s="2"/>
      <c r="AE110" s="2"/>
      <c r="BA110" s="2"/>
      <c r="BD110" s="2"/>
      <c r="BF110" s="2"/>
      <c r="BH110" s="2"/>
      <c r="BI110" s="2"/>
      <c r="BJ110" s="2"/>
    </row>
    <row r="111" ht="14.25" customHeight="1">
      <c r="E111" s="2"/>
      <c r="K111" s="2"/>
      <c r="L111" s="2"/>
      <c r="M111" s="2"/>
      <c r="N111" s="2"/>
      <c r="AD111" s="2"/>
      <c r="AE111" s="2"/>
      <c r="BA111" s="2"/>
      <c r="BD111" s="2"/>
      <c r="BF111" s="2"/>
      <c r="BH111" s="2"/>
      <c r="BI111" s="2"/>
      <c r="BJ111" s="2"/>
    </row>
    <row r="112" ht="14.25" customHeight="1">
      <c r="E112" s="2"/>
      <c r="K112" s="2"/>
      <c r="L112" s="2"/>
      <c r="M112" s="2"/>
      <c r="N112" s="2"/>
      <c r="AD112" s="2"/>
      <c r="AE112" s="2"/>
      <c r="BA112" s="2"/>
      <c r="BD112" s="2"/>
      <c r="BF112" s="2"/>
      <c r="BH112" s="2"/>
      <c r="BI112" s="2"/>
      <c r="BJ112" s="2"/>
    </row>
    <row r="113" ht="14.25" customHeight="1">
      <c r="E113" s="2"/>
      <c r="K113" s="2"/>
      <c r="L113" s="2"/>
      <c r="M113" s="2"/>
      <c r="N113" s="2"/>
      <c r="AD113" s="2"/>
      <c r="AE113" s="2"/>
      <c r="BA113" s="2"/>
      <c r="BD113" s="2"/>
      <c r="BF113" s="2"/>
      <c r="BH113" s="2"/>
      <c r="BI113" s="2"/>
      <c r="BJ113" s="2"/>
    </row>
    <row r="114" ht="14.25" customHeight="1">
      <c r="E114" s="2"/>
      <c r="K114" s="2"/>
      <c r="L114" s="2"/>
      <c r="M114" s="2"/>
      <c r="N114" s="2"/>
      <c r="AD114" s="2"/>
      <c r="AE114" s="2"/>
      <c r="BA114" s="2"/>
      <c r="BD114" s="2"/>
      <c r="BF114" s="2"/>
      <c r="BH114" s="2"/>
      <c r="BI114" s="2"/>
      <c r="BJ114" s="2"/>
    </row>
    <row r="115" ht="14.25" customHeight="1">
      <c r="E115" s="2"/>
      <c r="K115" s="2"/>
      <c r="L115" s="2"/>
      <c r="M115" s="2"/>
      <c r="N115" s="2"/>
      <c r="AD115" s="2"/>
      <c r="AE115" s="2"/>
      <c r="BA115" s="2"/>
      <c r="BD115" s="2"/>
      <c r="BF115" s="2"/>
      <c r="BH115" s="2"/>
      <c r="BI115" s="2"/>
      <c r="BJ115" s="2"/>
    </row>
    <row r="116" ht="14.25" customHeight="1">
      <c r="E116" s="2"/>
      <c r="K116" s="2"/>
      <c r="L116" s="2"/>
      <c r="M116" s="2"/>
      <c r="N116" s="2"/>
      <c r="AD116" s="2"/>
      <c r="AE116" s="2"/>
      <c r="BA116" s="2"/>
      <c r="BD116" s="2"/>
      <c r="BF116" s="2"/>
      <c r="BH116" s="2"/>
      <c r="BI116" s="2"/>
      <c r="BJ116" s="2"/>
    </row>
    <row r="117" ht="14.25" customHeight="1">
      <c r="E117" s="2"/>
      <c r="K117" s="2"/>
      <c r="L117" s="2"/>
      <c r="M117" s="2"/>
      <c r="N117" s="2"/>
      <c r="AD117" s="2"/>
      <c r="AE117" s="2"/>
      <c r="BA117" s="2"/>
      <c r="BD117" s="2"/>
      <c r="BF117" s="2"/>
      <c r="BH117" s="2"/>
      <c r="BI117" s="2"/>
      <c r="BJ117" s="2"/>
    </row>
    <row r="118" ht="14.25" customHeight="1">
      <c r="E118" s="2"/>
      <c r="K118" s="2"/>
      <c r="L118" s="2"/>
      <c r="M118" s="2"/>
      <c r="N118" s="2"/>
      <c r="AD118" s="2"/>
      <c r="AE118" s="2"/>
      <c r="BA118" s="2"/>
      <c r="BD118" s="2"/>
      <c r="BF118" s="2"/>
      <c r="BH118" s="2"/>
      <c r="BI118" s="2"/>
      <c r="BJ118" s="2"/>
    </row>
    <row r="119" ht="14.25" customHeight="1">
      <c r="E119" s="2"/>
      <c r="K119" s="2"/>
      <c r="L119" s="2"/>
      <c r="M119" s="2"/>
      <c r="N119" s="2"/>
      <c r="AD119" s="2"/>
      <c r="AE119" s="2"/>
      <c r="BA119" s="2"/>
      <c r="BD119" s="2"/>
      <c r="BF119" s="2"/>
      <c r="BH119" s="2"/>
      <c r="BI119" s="2"/>
      <c r="BJ119" s="2"/>
    </row>
    <row r="120" ht="14.25" customHeight="1">
      <c r="E120" s="2"/>
      <c r="K120" s="2"/>
      <c r="L120" s="2"/>
      <c r="M120" s="2"/>
      <c r="N120" s="2"/>
      <c r="AD120" s="2"/>
      <c r="AE120" s="2"/>
      <c r="BA120" s="2"/>
      <c r="BD120" s="2"/>
      <c r="BF120" s="2"/>
      <c r="BH120" s="2"/>
      <c r="BI120" s="2"/>
      <c r="BJ120" s="2"/>
    </row>
    <row r="121" ht="14.25" customHeight="1">
      <c r="E121" s="2"/>
      <c r="K121" s="2"/>
      <c r="L121" s="2"/>
      <c r="M121" s="2"/>
      <c r="N121" s="2"/>
      <c r="AD121" s="2"/>
      <c r="AE121" s="2"/>
      <c r="BA121" s="2"/>
      <c r="BD121" s="2"/>
      <c r="BF121" s="2"/>
      <c r="BH121" s="2"/>
      <c r="BI121" s="2"/>
      <c r="BJ121" s="2"/>
    </row>
    <row r="122" ht="14.25" customHeight="1">
      <c r="E122" s="2"/>
      <c r="K122" s="2"/>
      <c r="L122" s="2"/>
      <c r="M122" s="2"/>
      <c r="N122" s="2"/>
      <c r="AD122" s="2"/>
      <c r="AE122" s="2"/>
      <c r="BA122" s="2"/>
      <c r="BD122" s="2"/>
      <c r="BF122" s="2"/>
      <c r="BH122" s="2"/>
      <c r="BI122" s="2"/>
      <c r="BJ122" s="2"/>
    </row>
    <row r="123" ht="14.25" customHeight="1">
      <c r="E123" s="2"/>
      <c r="K123" s="2"/>
      <c r="L123" s="2"/>
      <c r="M123" s="2"/>
      <c r="N123" s="2"/>
      <c r="AD123" s="2"/>
      <c r="AE123" s="2"/>
      <c r="BA123" s="2"/>
      <c r="BD123" s="2"/>
      <c r="BF123" s="2"/>
      <c r="BH123" s="2"/>
      <c r="BI123" s="2"/>
      <c r="BJ123" s="2"/>
    </row>
    <row r="124" ht="14.25" customHeight="1">
      <c r="E124" s="2"/>
      <c r="K124" s="2"/>
      <c r="L124" s="2"/>
      <c r="M124" s="2"/>
      <c r="N124" s="2"/>
      <c r="AD124" s="2"/>
      <c r="AE124" s="2"/>
      <c r="BA124" s="2"/>
      <c r="BD124" s="2"/>
      <c r="BF124" s="2"/>
      <c r="BH124" s="2"/>
      <c r="BI124" s="2"/>
      <c r="BJ124" s="2"/>
    </row>
    <row r="125" ht="14.25" customHeight="1">
      <c r="E125" s="2"/>
      <c r="K125" s="2"/>
      <c r="L125" s="2"/>
      <c r="M125" s="2"/>
      <c r="N125" s="2"/>
      <c r="AD125" s="2"/>
      <c r="AE125" s="2"/>
      <c r="BA125" s="2"/>
      <c r="BD125" s="2"/>
      <c r="BF125" s="2"/>
      <c r="BH125" s="2"/>
      <c r="BI125" s="2"/>
      <c r="BJ125" s="2"/>
    </row>
    <row r="126" ht="14.25" customHeight="1">
      <c r="E126" s="2"/>
      <c r="K126" s="2"/>
      <c r="L126" s="2"/>
      <c r="M126" s="2"/>
      <c r="N126" s="2"/>
      <c r="AD126" s="2"/>
      <c r="AE126" s="2"/>
      <c r="BA126" s="2"/>
      <c r="BD126" s="2"/>
      <c r="BF126" s="2"/>
      <c r="BH126" s="2"/>
      <c r="BI126" s="2"/>
      <c r="BJ126" s="2"/>
    </row>
    <row r="127" ht="14.25" customHeight="1">
      <c r="E127" s="2"/>
      <c r="K127" s="2"/>
      <c r="L127" s="2"/>
      <c r="M127" s="2"/>
      <c r="N127" s="2"/>
      <c r="AD127" s="2"/>
      <c r="AE127" s="2"/>
      <c r="BA127" s="2"/>
      <c r="BD127" s="2"/>
      <c r="BF127" s="2"/>
      <c r="BH127" s="2"/>
      <c r="BI127" s="2"/>
      <c r="BJ127" s="2"/>
    </row>
    <row r="128" ht="14.25" customHeight="1">
      <c r="E128" s="2"/>
      <c r="K128" s="2"/>
      <c r="L128" s="2"/>
      <c r="M128" s="2"/>
      <c r="N128" s="2"/>
      <c r="AD128" s="2"/>
      <c r="AE128" s="2"/>
      <c r="BA128" s="2"/>
      <c r="BD128" s="2"/>
      <c r="BF128" s="2"/>
      <c r="BH128" s="2"/>
      <c r="BI128" s="2"/>
      <c r="BJ128" s="2"/>
    </row>
    <row r="129" ht="14.25" customHeight="1">
      <c r="E129" s="2"/>
      <c r="K129" s="2"/>
      <c r="L129" s="2"/>
      <c r="M129" s="2"/>
      <c r="N129" s="2"/>
      <c r="AD129" s="2"/>
      <c r="AE129" s="2"/>
      <c r="BA129" s="2"/>
      <c r="BD129" s="2"/>
      <c r="BF129" s="2"/>
      <c r="BH129" s="2"/>
      <c r="BI129" s="2"/>
      <c r="BJ129" s="2"/>
    </row>
    <row r="130" ht="14.25" customHeight="1">
      <c r="E130" s="2"/>
      <c r="K130" s="2"/>
      <c r="L130" s="2"/>
      <c r="M130" s="2"/>
      <c r="N130" s="2"/>
      <c r="AD130" s="2"/>
      <c r="AE130" s="2"/>
      <c r="BA130" s="2"/>
      <c r="BD130" s="2"/>
      <c r="BF130" s="2"/>
      <c r="BH130" s="2"/>
      <c r="BI130" s="2"/>
      <c r="BJ130" s="2"/>
    </row>
    <row r="131" ht="14.25" customHeight="1">
      <c r="E131" s="2"/>
      <c r="K131" s="2"/>
      <c r="L131" s="2"/>
      <c r="M131" s="2"/>
      <c r="N131" s="2"/>
      <c r="AD131" s="2"/>
      <c r="AE131" s="2"/>
      <c r="BA131" s="2"/>
      <c r="BD131" s="2"/>
      <c r="BF131" s="2"/>
      <c r="BH131" s="2"/>
      <c r="BI131" s="2"/>
      <c r="BJ131" s="2"/>
    </row>
    <row r="132" ht="14.25" customHeight="1">
      <c r="E132" s="2"/>
      <c r="K132" s="2"/>
      <c r="L132" s="2"/>
      <c r="M132" s="2"/>
      <c r="N132" s="2"/>
      <c r="AD132" s="2"/>
      <c r="AE132" s="2"/>
      <c r="BA132" s="2"/>
      <c r="BD132" s="2"/>
      <c r="BF132" s="2"/>
      <c r="BH132" s="2"/>
      <c r="BI132" s="2"/>
      <c r="BJ132" s="2"/>
    </row>
    <row r="133" ht="14.25" customHeight="1">
      <c r="E133" s="2"/>
      <c r="K133" s="2"/>
      <c r="L133" s="2"/>
      <c r="M133" s="2"/>
      <c r="N133" s="2"/>
      <c r="AD133" s="2"/>
      <c r="AE133" s="2"/>
      <c r="BA133" s="2"/>
      <c r="BD133" s="2"/>
      <c r="BF133" s="2"/>
      <c r="BH133" s="2"/>
      <c r="BI133" s="2"/>
      <c r="BJ133" s="2"/>
    </row>
    <row r="134" ht="14.25" customHeight="1">
      <c r="E134" s="2"/>
      <c r="K134" s="2"/>
      <c r="L134" s="2"/>
      <c r="M134" s="2"/>
      <c r="N134" s="2"/>
      <c r="AD134" s="2"/>
      <c r="AE134" s="2"/>
      <c r="BA134" s="2"/>
      <c r="BD134" s="2"/>
      <c r="BF134" s="2"/>
      <c r="BH134" s="2"/>
      <c r="BI134" s="2"/>
      <c r="BJ134" s="2"/>
    </row>
    <row r="135" ht="14.25" customHeight="1">
      <c r="E135" s="2"/>
      <c r="K135" s="2"/>
      <c r="L135" s="2"/>
      <c r="M135" s="2"/>
      <c r="N135" s="2"/>
      <c r="AD135" s="2"/>
      <c r="AE135" s="2"/>
      <c r="BA135" s="2"/>
      <c r="BD135" s="2"/>
      <c r="BF135" s="2"/>
      <c r="BH135" s="2"/>
      <c r="BI135" s="2"/>
      <c r="BJ135" s="2"/>
    </row>
    <row r="136" ht="14.25" customHeight="1">
      <c r="E136" s="2"/>
      <c r="K136" s="2"/>
      <c r="L136" s="2"/>
      <c r="M136" s="2"/>
      <c r="N136" s="2"/>
      <c r="AD136" s="2"/>
      <c r="AE136" s="2"/>
      <c r="BA136" s="2"/>
      <c r="BD136" s="2"/>
      <c r="BF136" s="2"/>
      <c r="BH136" s="2"/>
      <c r="BI136" s="2"/>
      <c r="BJ136" s="2"/>
    </row>
    <row r="137" ht="14.25" customHeight="1">
      <c r="E137" s="2"/>
      <c r="K137" s="2"/>
      <c r="L137" s="2"/>
      <c r="M137" s="2"/>
      <c r="N137" s="2"/>
      <c r="AD137" s="2"/>
      <c r="AE137" s="2"/>
      <c r="BA137" s="2"/>
      <c r="BD137" s="2"/>
      <c r="BF137" s="2"/>
      <c r="BH137" s="2"/>
      <c r="BI137" s="2"/>
      <c r="BJ137" s="2"/>
    </row>
    <row r="138" ht="14.25" customHeight="1">
      <c r="E138" s="2"/>
      <c r="K138" s="2"/>
      <c r="L138" s="2"/>
      <c r="M138" s="2"/>
      <c r="N138" s="2"/>
      <c r="AD138" s="2"/>
      <c r="AE138" s="2"/>
      <c r="BA138" s="2"/>
      <c r="BD138" s="2"/>
      <c r="BF138" s="2"/>
      <c r="BH138" s="2"/>
      <c r="BI138" s="2"/>
      <c r="BJ138" s="2"/>
    </row>
    <row r="139" ht="14.25" customHeight="1">
      <c r="E139" s="2"/>
      <c r="K139" s="2"/>
      <c r="L139" s="2"/>
      <c r="M139" s="2"/>
      <c r="N139" s="2"/>
      <c r="AD139" s="2"/>
      <c r="AE139" s="2"/>
      <c r="BA139" s="2"/>
      <c r="BD139" s="2"/>
      <c r="BF139" s="2"/>
      <c r="BH139" s="2"/>
      <c r="BI139" s="2"/>
      <c r="BJ139" s="2"/>
    </row>
    <row r="140" ht="14.25" customHeight="1">
      <c r="E140" s="2"/>
      <c r="K140" s="2"/>
      <c r="L140" s="2"/>
      <c r="M140" s="2"/>
      <c r="N140" s="2"/>
      <c r="AD140" s="2"/>
      <c r="AE140" s="2"/>
      <c r="BA140" s="2"/>
      <c r="BD140" s="2"/>
      <c r="BF140" s="2"/>
      <c r="BH140" s="2"/>
      <c r="BI140" s="2"/>
      <c r="BJ140" s="2"/>
    </row>
    <row r="141" ht="14.25" customHeight="1">
      <c r="E141" s="2"/>
      <c r="K141" s="2"/>
      <c r="L141" s="2"/>
      <c r="M141" s="2"/>
      <c r="N141" s="2"/>
      <c r="AD141" s="2"/>
      <c r="AE141" s="2"/>
      <c r="BA141" s="2"/>
      <c r="BD141" s="2"/>
      <c r="BF141" s="2"/>
      <c r="BH141" s="2"/>
      <c r="BI141" s="2"/>
      <c r="BJ141" s="2"/>
    </row>
    <row r="142" ht="14.25" customHeight="1">
      <c r="E142" s="2"/>
      <c r="K142" s="2"/>
      <c r="L142" s="2"/>
      <c r="M142" s="2"/>
      <c r="N142" s="2"/>
      <c r="AD142" s="2"/>
      <c r="AE142" s="2"/>
      <c r="BA142" s="2"/>
      <c r="BD142" s="2"/>
      <c r="BF142" s="2"/>
      <c r="BH142" s="2"/>
      <c r="BI142" s="2"/>
      <c r="BJ142" s="2"/>
    </row>
    <row r="143" ht="14.25" customHeight="1">
      <c r="E143" s="2"/>
      <c r="K143" s="2"/>
      <c r="L143" s="2"/>
      <c r="M143" s="2"/>
      <c r="N143" s="2"/>
      <c r="AD143" s="2"/>
      <c r="AE143" s="2"/>
      <c r="BA143" s="2"/>
      <c r="BD143" s="2"/>
      <c r="BF143" s="2"/>
      <c r="BH143" s="2"/>
      <c r="BI143" s="2"/>
      <c r="BJ143" s="2"/>
    </row>
    <row r="144" ht="14.25" customHeight="1">
      <c r="E144" s="2"/>
      <c r="K144" s="2"/>
      <c r="L144" s="2"/>
      <c r="M144" s="2"/>
      <c r="N144" s="2"/>
      <c r="AD144" s="2"/>
      <c r="AE144" s="2"/>
      <c r="BA144" s="2"/>
      <c r="BD144" s="2"/>
      <c r="BF144" s="2"/>
      <c r="BH144" s="2"/>
      <c r="BI144" s="2"/>
      <c r="BJ144" s="2"/>
    </row>
    <row r="145" ht="14.25" customHeight="1">
      <c r="E145" s="2"/>
      <c r="K145" s="2"/>
      <c r="L145" s="2"/>
      <c r="M145" s="2"/>
      <c r="N145" s="2"/>
      <c r="AD145" s="2"/>
      <c r="AE145" s="2"/>
      <c r="BA145" s="2"/>
      <c r="BD145" s="2"/>
      <c r="BF145" s="2"/>
      <c r="BH145" s="2"/>
      <c r="BI145" s="2"/>
      <c r="BJ145" s="2"/>
    </row>
    <row r="146" ht="14.25" customHeight="1">
      <c r="E146" s="2"/>
      <c r="K146" s="2"/>
      <c r="L146" s="2"/>
      <c r="M146" s="2"/>
      <c r="N146" s="2"/>
      <c r="AD146" s="2"/>
      <c r="AE146" s="2"/>
      <c r="BA146" s="2"/>
      <c r="BD146" s="2"/>
      <c r="BF146" s="2"/>
      <c r="BH146" s="2"/>
      <c r="BI146" s="2"/>
      <c r="BJ146" s="2"/>
    </row>
    <row r="147" ht="14.25" customHeight="1">
      <c r="E147" s="2"/>
      <c r="K147" s="2"/>
      <c r="L147" s="2"/>
      <c r="M147" s="2"/>
      <c r="N147" s="2"/>
      <c r="AD147" s="2"/>
      <c r="AE147" s="2"/>
      <c r="BA147" s="2"/>
      <c r="BD147" s="2"/>
      <c r="BF147" s="2"/>
      <c r="BH147" s="2"/>
      <c r="BI147" s="2"/>
      <c r="BJ147" s="2"/>
    </row>
    <row r="148" ht="14.25" customHeight="1">
      <c r="E148" s="2"/>
      <c r="K148" s="2"/>
      <c r="L148" s="2"/>
      <c r="M148" s="2"/>
      <c r="N148" s="2"/>
      <c r="AD148" s="2"/>
      <c r="AE148" s="2"/>
      <c r="BA148" s="2"/>
      <c r="BD148" s="2"/>
      <c r="BF148" s="2"/>
      <c r="BH148" s="2"/>
      <c r="BI148" s="2"/>
      <c r="BJ148" s="2"/>
    </row>
    <row r="149" ht="14.25" customHeight="1">
      <c r="E149" s="2"/>
      <c r="K149" s="2"/>
      <c r="L149" s="2"/>
      <c r="M149" s="2"/>
      <c r="N149" s="2"/>
      <c r="AD149" s="2"/>
      <c r="AE149" s="2"/>
      <c r="BA149" s="2"/>
      <c r="BD149" s="2"/>
      <c r="BF149" s="2"/>
      <c r="BH149" s="2"/>
      <c r="BI149" s="2"/>
      <c r="BJ149" s="2"/>
    </row>
    <row r="150" ht="14.25" customHeight="1">
      <c r="E150" s="2"/>
      <c r="K150" s="2"/>
      <c r="L150" s="2"/>
      <c r="M150" s="2"/>
      <c r="N150" s="2"/>
      <c r="AD150" s="2"/>
      <c r="AE150" s="2"/>
      <c r="BA150" s="2"/>
      <c r="BD150" s="2"/>
      <c r="BF150" s="2"/>
      <c r="BH150" s="2"/>
      <c r="BI150" s="2"/>
      <c r="BJ150" s="2"/>
    </row>
    <row r="151" ht="14.25" customHeight="1">
      <c r="E151" s="2"/>
      <c r="K151" s="2"/>
      <c r="L151" s="2"/>
      <c r="M151" s="2"/>
      <c r="N151" s="2"/>
      <c r="AD151" s="2"/>
      <c r="AE151" s="2"/>
      <c r="BA151" s="2"/>
      <c r="BD151" s="2"/>
      <c r="BF151" s="2"/>
      <c r="BH151" s="2"/>
      <c r="BI151" s="2"/>
      <c r="BJ151" s="2"/>
    </row>
    <row r="152" ht="14.25" customHeight="1">
      <c r="E152" s="2"/>
      <c r="K152" s="2"/>
      <c r="L152" s="2"/>
      <c r="M152" s="2"/>
      <c r="N152" s="2"/>
      <c r="AD152" s="2"/>
      <c r="AE152" s="2"/>
      <c r="BA152" s="2"/>
      <c r="BD152" s="2"/>
      <c r="BF152" s="2"/>
      <c r="BH152" s="2"/>
      <c r="BI152" s="2"/>
      <c r="BJ152" s="2"/>
    </row>
    <row r="153" ht="14.25" customHeight="1">
      <c r="E153" s="2"/>
      <c r="K153" s="2"/>
      <c r="L153" s="2"/>
      <c r="M153" s="2"/>
      <c r="N153" s="2"/>
      <c r="AD153" s="2"/>
      <c r="AE153" s="2"/>
      <c r="BA153" s="2"/>
      <c r="BD153" s="2"/>
      <c r="BF153" s="2"/>
      <c r="BH153" s="2"/>
      <c r="BI153" s="2"/>
      <c r="BJ153" s="2"/>
    </row>
    <row r="154" ht="14.25" customHeight="1">
      <c r="E154" s="2"/>
      <c r="K154" s="2"/>
      <c r="L154" s="2"/>
      <c r="M154" s="2"/>
      <c r="N154" s="2"/>
      <c r="AD154" s="2"/>
      <c r="AE154" s="2"/>
      <c r="BA154" s="2"/>
      <c r="BD154" s="2"/>
      <c r="BF154" s="2"/>
      <c r="BH154" s="2"/>
      <c r="BI154" s="2"/>
      <c r="BJ154" s="2"/>
    </row>
    <row r="155" ht="14.25" customHeight="1">
      <c r="E155" s="2"/>
      <c r="K155" s="2"/>
      <c r="L155" s="2"/>
      <c r="M155" s="2"/>
      <c r="N155" s="2"/>
      <c r="AD155" s="2"/>
      <c r="AE155" s="2"/>
      <c r="BA155" s="2"/>
      <c r="BD155" s="2"/>
      <c r="BF155" s="2"/>
      <c r="BH155" s="2"/>
      <c r="BI155" s="2"/>
      <c r="BJ155" s="2"/>
    </row>
    <row r="156" ht="14.25" customHeight="1">
      <c r="E156" s="2"/>
      <c r="K156" s="2"/>
      <c r="L156" s="2"/>
      <c r="M156" s="2"/>
      <c r="N156" s="2"/>
      <c r="AD156" s="2"/>
      <c r="AE156" s="2"/>
      <c r="BA156" s="2"/>
      <c r="BD156" s="2"/>
      <c r="BF156" s="2"/>
      <c r="BH156" s="2"/>
      <c r="BI156" s="2"/>
      <c r="BJ156" s="2"/>
    </row>
    <row r="157" ht="14.25" customHeight="1">
      <c r="E157" s="2"/>
      <c r="K157" s="2"/>
      <c r="L157" s="2"/>
      <c r="M157" s="2"/>
      <c r="N157" s="2"/>
      <c r="AD157" s="2"/>
      <c r="AE157" s="2"/>
      <c r="BA157" s="2"/>
      <c r="BD157" s="2"/>
      <c r="BF157" s="2"/>
      <c r="BH157" s="2"/>
      <c r="BI157" s="2"/>
      <c r="BJ157" s="2"/>
    </row>
    <row r="158" ht="14.25" customHeight="1">
      <c r="E158" s="2"/>
      <c r="K158" s="2"/>
      <c r="L158" s="2"/>
      <c r="M158" s="2"/>
      <c r="N158" s="2"/>
      <c r="AD158" s="2"/>
      <c r="AE158" s="2"/>
      <c r="BA158" s="2"/>
      <c r="BD158" s="2"/>
      <c r="BF158" s="2"/>
      <c r="BH158" s="2"/>
      <c r="BI158" s="2"/>
      <c r="BJ158" s="2"/>
    </row>
    <row r="159" ht="14.25" customHeight="1">
      <c r="E159" s="2"/>
      <c r="K159" s="2"/>
      <c r="L159" s="2"/>
      <c r="M159" s="2"/>
      <c r="N159" s="2"/>
      <c r="AD159" s="2"/>
      <c r="AE159" s="2"/>
      <c r="BA159" s="2"/>
      <c r="BD159" s="2"/>
      <c r="BF159" s="2"/>
      <c r="BH159" s="2"/>
      <c r="BI159" s="2"/>
      <c r="BJ159" s="2"/>
    </row>
    <row r="160" ht="14.25" customHeight="1">
      <c r="E160" s="2"/>
      <c r="K160" s="2"/>
      <c r="L160" s="2"/>
      <c r="M160" s="2"/>
      <c r="N160" s="2"/>
      <c r="AD160" s="2"/>
      <c r="AE160" s="2"/>
      <c r="BA160" s="2"/>
      <c r="BD160" s="2"/>
      <c r="BF160" s="2"/>
      <c r="BH160" s="2"/>
      <c r="BI160" s="2"/>
      <c r="BJ160" s="2"/>
    </row>
    <row r="161" ht="14.25" customHeight="1">
      <c r="E161" s="2"/>
      <c r="K161" s="2"/>
      <c r="L161" s="2"/>
      <c r="M161" s="2"/>
      <c r="N161" s="2"/>
      <c r="AD161" s="2"/>
      <c r="AE161" s="2"/>
      <c r="BA161" s="2"/>
      <c r="BD161" s="2"/>
      <c r="BF161" s="2"/>
      <c r="BH161" s="2"/>
      <c r="BI161" s="2"/>
      <c r="BJ161" s="2"/>
    </row>
    <row r="162" ht="14.25" customHeight="1">
      <c r="E162" s="2"/>
      <c r="K162" s="2"/>
      <c r="L162" s="2"/>
      <c r="M162" s="2"/>
      <c r="N162" s="2"/>
      <c r="AD162" s="2"/>
      <c r="AE162" s="2"/>
      <c r="BA162" s="2"/>
      <c r="BD162" s="2"/>
      <c r="BF162" s="2"/>
      <c r="BH162" s="2"/>
      <c r="BI162" s="2"/>
      <c r="BJ162" s="2"/>
    </row>
    <row r="163" ht="14.25" customHeight="1">
      <c r="E163" s="2"/>
      <c r="K163" s="2"/>
      <c r="L163" s="2"/>
      <c r="M163" s="2"/>
      <c r="N163" s="2"/>
      <c r="AD163" s="2"/>
      <c r="AE163" s="2"/>
      <c r="BA163" s="2"/>
      <c r="BD163" s="2"/>
      <c r="BF163" s="2"/>
      <c r="BH163" s="2"/>
      <c r="BI163" s="2"/>
      <c r="BJ163" s="2"/>
    </row>
    <row r="164" ht="14.25" customHeight="1">
      <c r="E164" s="2"/>
      <c r="K164" s="2"/>
      <c r="L164" s="2"/>
      <c r="M164" s="2"/>
      <c r="N164" s="2"/>
      <c r="AD164" s="2"/>
      <c r="AE164" s="2"/>
      <c r="BA164" s="2"/>
      <c r="BD164" s="2"/>
      <c r="BF164" s="2"/>
      <c r="BH164" s="2"/>
      <c r="BI164" s="2"/>
      <c r="BJ164" s="2"/>
    </row>
    <row r="165" ht="14.25" customHeight="1">
      <c r="E165" s="2"/>
      <c r="K165" s="2"/>
      <c r="L165" s="2"/>
      <c r="M165" s="2"/>
      <c r="N165" s="2"/>
      <c r="AD165" s="2"/>
      <c r="AE165" s="2"/>
      <c r="BA165" s="2"/>
      <c r="BD165" s="2"/>
      <c r="BF165" s="2"/>
      <c r="BH165" s="2"/>
      <c r="BI165" s="2"/>
      <c r="BJ165" s="2"/>
    </row>
    <row r="166" ht="14.25" customHeight="1">
      <c r="E166" s="2"/>
      <c r="K166" s="2"/>
      <c r="L166" s="2"/>
      <c r="M166" s="2"/>
      <c r="N166" s="2"/>
      <c r="AD166" s="2"/>
      <c r="AE166" s="2"/>
      <c r="BA166" s="2"/>
      <c r="BD166" s="2"/>
      <c r="BF166" s="2"/>
      <c r="BH166" s="2"/>
      <c r="BI166" s="2"/>
      <c r="BJ166" s="2"/>
    </row>
    <row r="167" ht="14.25" customHeight="1">
      <c r="E167" s="2"/>
      <c r="K167" s="2"/>
      <c r="L167" s="2"/>
      <c r="M167" s="2"/>
      <c r="N167" s="2"/>
      <c r="AD167" s="2"/>
      <c r="AE167" s="2"/>
      <c r="BA167" s="2"/>
      <c r="BD167" s="2"/>
      <c r="BF167" s="2"/>
      <c r="BH167" s="2"/>
      <c r="BI167" s="2"/>
      <c r="BJ167" s="2"/>
    </row>
    <row r="168" ht="14.25" customHeight="1">
      <c r="E168" s="2"/>
      <c r="K168" s="2"/>
      <c r="L168" s="2"/>
      <c r="M168" s="2"/>
      <c r="N168" s="2"/>
      <c r="AD168" s="2"/>
      <c r="AE168" s="2"/>
      <c r="BA168" s="2"/>
      <c r="BD168" s="2"/>
      <c r="BF168" s="2"/>
      <c r="BH168" s="2"/>
      <c r="BI168" s="2"/>
      <c r="BJ168" s="2"/>
    </row>
    <row r="169" ht="14.25" customHeight="1">
      <c r="E169" s="2"/>
      <c r="K169" s="2"/>
      <c r="L169" s="2"/>
      <c r="M169" s="2"/>
      <c r="N169" s="2"/>
      <c r="AD169" s="2"/>
      <c r="AE169" s="2"/>
      <c r="BA169" s="2"/>
      <c r="BD169" s="2"/>
      <c r="BF169" s="2"/>
      <c r="BH169" s="2"/>
      <c r="BI169" s="2"/>
      <c r="BJ169" s="2"/>
    </row>
    <row r="170" ht="14.25" customHeight="1">
      <c r="E170" s="2"/>
      <c r="K170" s="2"/>
      <c r="L170" s="2"/>
      <c r="M170" s="2"/>
      <c r="N170" s="2"/>
      <c r="AD170" s="2"/>
      <c r="AE170" s="2"/>
      <c r="BA170" s="2"/>
      <c r="BD170" s="2"/>
      <c r="BF170" s="2"/>
      <c r="BH170" s="2"/>
      <c r="BI170" s="2"/>
      <c r="BJ170" s="2"/>
    </row>
    <row r="171" ht="14.25" customHeight="1">
      <c r="E171" s="2"/>
      <c r="K171" s="2"/>
      <c r="L171" s="2"/>
      <c r="M171" s="2"/>
      <c r="N171" s="2"/>
      <c r="AD171" s="2"/>
      <c r="AE171" s="2"/>
      <c r="BA171" s="2"/>
      <c r="BD171" s="2"/>
      <c r="BF171" s="2"/>
      <c r="BH171" s="2"/>
      <c r="BI171" s="2"/>
      <c r="BJ171" s="2"/>
    </row>
    <row r="172" ht="14.25" customHeight="1">
      <c r="E172" s="2"/>
      <c r="K172" s="2"/>
      <c r="L172" s="2"/>
      <c r="M172" s="2"/>
      <c r="N172" s="2"/>
      <c r="AD172" s="2"/>
      <c r="AE172" s="2"/>
      <c r="BA172" s="2"/>
      <c r="BD172" s="2"/>
      <c r="BF172" s="2"/>
      <c r="BH172" s="2"/>
      <c r="BI172" s="2"/>
      <c r="BJ172" s="2"/>
    </row>
    <row r="173" ht="14.25" customHeight="1">
      <c r="E173" s="2"/>
      <c r="K173" s="2"/>
      <c r="L173" s="2"/>
      <c r="M173" s="2"/>
      <c r="N173" s="2"/>
      <c r="AD173" s="2"/>
      <c r="AE173" s="2"/>
      <c r="BA173" s="2"/>
      <c r="BD173" s="2"/>
      <c r="BF173" s="2"/>
      <c r="BH173" s="2"/>
      <c r="BI173" s="2"/>
      <c r="BJ173" s="2"/>
    </row>
    <row r="174" ht="14.25" customHeight="1">
      <c r="E174" s="2"/>
      <c r="K174" s="2"/>
      <c r="L174" s="2"/>
      <c r="M174" s="2"/>
      <c r="N174" s="2"/>
      <c r="AD174" s="2"/>
      <c r="AE174" s="2"/>
      <c r="BA174" s="2"/>
      <c r="BD174" s="2"/>
      <c r="BF174" s="2"/>
      <c r="BH174" s="2"/>
      <c r="BI174" s="2"/>
      <c r="BJ174" s="2"/>
    </row>
    <row r="175" ht="14.25" customHeight="1">
      <c r="E175" s="2"/>
      <c r="K175" s="2"/>
      <c r="L175" s="2"/>
      <c r="M175" s="2"/>
      <c r="N175" s="2"/>
      <c r="AD175" s="2"/>
      <c r="AE175" s="2"/>
      <c r="BA175" s="2"/>
      <c r="BD175" s="2"/>
      <c r="BF175" s="2"/>
      <c r="BH175" s="2"/>
      <c r="BI175" s="2"/>
      <c r="BJ175" s="2"/>
    </row>
    <row r="176" ht="14.25" customHeight="1">
      <c r="E176" s="2"/>
      <c r="K176" s="2"/>
      <c r="L176" s="2"/>
      <c r="M176" s="2"/>
      <c r="N176" s="2"/>
      <c r="AD176" s="2"/>
      <c r="AE176" s="2"/>
      <c r="BA176" s="2"/>
      <c r="BD176" s="2"/>
      <c r="BF176" s="2"/>
      <c r="BH176" s="2"/>
      <c r="BI176" s="2"/>
      <c r="BJ176" s="2"/>
    </row>
    <row r="177" ht="14.25" customHeight="1">
      <c r="E177" s="2"/>
      <c r="K177" s="2"/>
      <c r="L177" s="2"/>
      <c r="M177" s="2"/>
      <c r="N177" s="2"/>
      <c r="AD177" s="2"/>
      <c r="AE177" s="2"/>
      <c r="BA177" s="2"/>
      <c r="BD177" s="2"/>
      <c r="BF177" s="2"/>
      <c r="BH177" s="2"/>
      <c r="BI177" s="2"/>
      <c r="BJ177" s="2"/>
    </row>
    <row r="178" ht="14.25" customHeight="1">
      <c r="E178" s="2"/>
      <c r="K178" s="2"/>
      <c r="L178" s="2"/>
      <c r="M178" s="2"/>
      <c r="N178" s="2"/>
      <c r="AD178" s="2"/>
      <c r="AE178" s="2"/>
      <c r="BA178" s="2"/>
      <c r="BD178" s="2"/>
      <c r="BF178" s="2"/>
      <c r="BH178" s="2"/>
      <c r="BI178" s="2"/>
      <c r="BJ178" s="2"/>
    </row>
    <row r="179" ht="14.25" customHeight="1">
      <c r="E179" s="2"/>
      <c r="K179" s="2"/>
      <c r="L179" s="2"/>
      <c r="M179" s="2"/>
      <c r="N179" s="2"/>
      <c r="AD179" s="2"/>
      <c r="AE179" s="2"/>
      <c r="BA179" s="2"/>
      <c r="BD179" s="2"/>
      <c r="BF179" s="2"/>
      <c r="BH179" s="2"/>
      <c r="BI179" s="2"/>
      <c r="BJ179" s="2"/>
    </row>
    <row r="180" ht="14.25" customHeight="1">
      <c r="E180" s="2"/>
      <c r="K180" s="2"/>
      <c r="L180" s="2"/>
      <c r="M180" s="2"/>
      <c r="N180" s="2"/>
      <c r="AD180" s="2"/>
      <c r="AE180" s="2"/>
      <c r="BA180" s="2"/>
      <c r="BD180" s="2"/>
      <c r="BF180" s="2"/>
      <c r="BH180" s="2"/>
      <c r="BI180" s="2"/>
      <c r="BJ180" s="2"/>
    </row>
    <row r="181" ht="14.25" customHeight="1">
      <c r="E181" s="2"/>
      <c r="K181" s="2"/>
      <c r="L181" s="2"/>
      <c r="M181" s="2"/>
      <c r="N181" s="2"/>
      <c r="AD181" s="2"/>
      <c r="AE181" s="2"/>
      <c r="BA181" s="2"/>
      <c r="BD181" s="2"/>
      <c r="BF181" s="2"/>
      <c r="BH181" s="2"/>
      <c r="BI181" s="2"/>
      <c r="BJ181" s="2"/>
    </row>
    <row r="182" ht="14.25" customHeight="1">
      <c r="E182" s="2"/>
      <c r="K182" s="2"/>
      <c r="L182" s="2"/>
      <c r="M182" s="2"/>
      <c r="N182" s="2"/>
      <c r="AD182" s="2"/>
      <c r="AE182" s="2"/>
      <c r="BA182" s="2"/>
      <c r="BD182" s="2"/>
      <c r="BF182" s="2"/>
      <c r="BH182" s="2"/>
      <c r="BI182" s="2"/>
      <c r="BJ182" s="2"/>
    </row>
    <row r="183" ht="14.25" customHeight="1">
      <c r="E183" s="2"/>
      <c r="K183" s="2"/>
      <c r="L183" s="2"/>
      <c r="M183" s="2"/>
      <c r="N183" s="2"/>
      <c r="AD183" s="2"/>
      <c r="AE183" s="2"/>
      <c r="BA183" s="2"/>
      <c r="BD183" s="2"/>
      <c r="BF183" s="2"/>
      <c r="BH183" s="2"/>
      <c r="BI183" s="2"/>
      <c r="BJ183" s="2"/>
    </row>
    <row r="184" ht="14.25" customHeight="1">
      <c r="E184" s="2"/>
      <c r="K184" s="2"/>
      <c r="L184" s="2"/>
      <c r="M184" s="2"/>
      <c r="N184" s="2"/>
      <c r="AD184" s="2"/>
      <c r="AE184" s="2"/>
      <c r="BA184" s="2"/>
      <c r="BD184" s="2"/>
      <c r="BF184" s="2"/>
      <c r="BH184" s="2"/>
      <c r="BI184" s="2"/>
      <c r="BJ184" s="2"/>
    </row>
    <row r="185" ht="14.25" customHeight="1">
      <c r="E185" s="2"/>
      <c r="K185" s="2"/>
      <c r="L185" s="2"/>
      <c r="M185" s="2"/>
      <c r="N185" s="2"/>
      <c r="AD185" s="2"/>
      <c r="AE185" s="2"/>
      <c r="BA185" s="2"/>
      <c r="BD185" s="2"/>
      <c r="BF185" s="2"/>
      <c r="BH185" s="2"/>
      <c r="BI185" s="2"/>
      <c r="BJ185" s="2"/>
    </row>
    <row r="186" ht="14.25" customHeight="1">
      <c r="E186" s="2"/>
      <c r="K186" s="2"/>
      <c r="L186" s="2"/>
      <c r="M186" s="2"/>
      <c r="N186" s="2"/>
      <c r="AD186" s="2"/>
      <c r="AE186" s="2"/>
      <c r="BA186" s="2"/>
      <c r="BD186" s="2"/>
      <c r="BF186" s="2"/>
      <c r="BH186" s="2"/>
      <c r="BI186" s="2"/>
      <c r="BJ186" s="2"/>
    </row>
    <row r="187" ht="14.25" customHeight="1">
      <c r="E187" s="2"/>
      <c r="K187" s="2"/>
      <c r="L187" s="2"/>
      <c r="M187" s="2"/>
      <c r="N187" s="2"/>
      <c r="AD187" s="2"/>
      <c r="AE187" s="2"/>
      <c r="BA187" s="2"/>
      <c r="BD187" s="2"/>
      <c r="BF187" s="2"/>
      <c r="BH187" s="2"/>
      <c r="BI187" s="2"/>
      <c r="BJ187" s="2"/>
    </row>
    <row r="188" ht="14.25" customHeight="1">
      <c r="E188" s="2"/>
      <c r="K188" s="2"/>
      <c r="L188" s="2"/>
      <c r="M188" s="2"/>
      <c r="N188" s="2"/>
      <c r="AD188" s="2"/>
      <c r="AE188" s="2"/>
      <c r="BA188" s="2"/>
      <c r="BD188" s="2"/>
      <c r="BF188" s="2"/>
      <c r="BH188" s="2"/>
      <c r="BI188" s="2"/>
      <c r="BJ188" s="2"/>
    </row>
    <row r="189" ht="14.25" customHeight="1">
      <c r="E189" s="2"/>
      <c r="K189" s="2"/>
      <c r="L189" s="2"/>
      <c r="M189" s="2"/>
      <c r="N189" s="2"/>
      <c r="AD189" s="2"/>
      <c r="AE189" s="2"/>
      <c r="BA189" s="2"/>
      <c r="BD189" s="2"/>
      <c r="BF189" s="2"/>
      <c r="BH189" s="2"/>
      <c r="BI189" s="2"/>
      <c r="BJ189" s="2"/>
    </row>
    <row r="190" ht="14.25" customHeight="1">
      <c r="E190" s="2"/>
      <c r="K190" s="2"/>
      <c r="L190" s="2"/>
      <c r="M190" s="2"/>
      <c r="N190" s="2"/>
      <c r="AD190" s="2"/>
      <c r="AE190" s="2"/>
      <c r="BA190" s="2"/>
      <c r="BD190" s="2"/>
      <c r="BF190" s="2"/>
      <c r="BH190" s="2"/>
      <c r="BI190" s="2"/>
      <c r="BJ190" s="2"/>
    </row>
    <row r="191" ht="14.25" customHeight="1">
      <c r="E191" s="2"/>
      <c r="K191" s="2"/>
      <c r="L191" s="2"/>
      <c r="M191" s="2"/>
      <c r="N191" s="2"/>
      <c r="AD191" s="2"/>
      <c r="AE191" s="2"/>
      <c r="BA191" s="2"/>
      <c r="BD191" s="2"/>
      <c r="BF191" s="2"/>
      <c r="BH191" s="2"/>
      <c r="BI191" s="2"/>
      <c r="BJ191" s="2"/>
    </row>
    <row r="192" ht="14.25" customHeight="1">
      <c r="E192" s="2"/>
      <c r="K192" s="2"/>
      <c r="L192" s="2"/>
      <c r="M192" s="2"/>
      <c r="N192" s="2"/>
      <c r="AD192" s="2"/>
      <c r="AE192" s="2"/>
      <c r="BA192" s="2"/>
      <c r="BD192" s="2"/>
      <c r="BF192" s="2"/>
      <c r="BH192" s="2"/>
      <c r="BI192" s="2"/>
      <c r="BJ192" s="2"/>
    </row>
    <row r="193" ht="14.25" customHeight="1">
      <c r="E193" s="2"/>
      <c r="K193" s="2"/>
      <c r="L193" s="2"/>
      <c r="M193" s="2"/>
      <c r="N193" s="2"/>
      <c r="AD193" s="2"/>
      <c r="AE193" s="2"/>
      <c r="BA193" s="2"/>
      <c r="BD193" s="2"/>
      <c r="BF193" s="2"/>
      <c r="BH193" s="2"/>
      <c r="BI193" s="2"/>
      <c r="BJ193" s="2"/>
    </row>
    <row r="194" ht="14.25" customHeight="1">
      <c r="E194" s="2"/>
      <c r="K194" s="2"/>
      <c r="L194" s="2"/>
      <c r="M194" s="2"/>
      <c r="N194" s="2"/>
      <c r="AD194" s="2"/>
      <c r="AE194" s="2"/>
      <c r="BA194" s="2"/>
      <c r="BD194" s="2"/>
      <c r="BF194" s="2"/>
      <c r="BH194" s="2"/>
      <c r="BI194" s="2"/>
      <c r="BJ194" s="2"/>
    </row>
    <row r="195" ht="14.25" customHeight="1">
      <c r="E195" s="2"/>
      <c r="K195" s="2"/>
      <c r="L195" s="2"/>
      <c r="M195" s="2"/>
      <c r="N195" s="2"/>
      <c r="AD195" s="2"/>
      <c r="AE195" s="2"/>
      <c r="BA195" s="2"/>
      <c r="BD195" s="2"/>
      <c r="BF195" s="2"/>
      <c r="BH195" s="2"/>
      <c r="BI195" s="2"/>
      <c r="BJ195" s="2"/>
    </row>
    <row r="196" ht="14.25" customHeight="1">
      <c r="E196" s="2"/>
      <c r="K196" s="2"/>
      <c r="L196" s="2"/>
      <c r="M196" s="2"/>
      <c r="N196" s="2"/>
      <c r="AD196" s="2"/>
      <c r="AE196" s="2"/>
      <c r="BA196" s="2"/>
      <c r="BD196" s="2"/>
      <c r="BF196" s="2"/>
      <c r="BH196" s="2"/>
      <c r="BI196" s="2"/>
      <c r="BJ196" s="2"/>
    </row>
    <row r="197" ht="14.25" customHeight="1">
      <c r="E197" s="2"/>
      <c r="K197" s="2"/>
      <c r="L197" s="2"/>
      <c r="M197" s="2"/>
      <c r="N197" s="2"/>
      <c r="AD197" s="2"/>
      <c r="AE197" s="2"/>
      <c r="BA197" s="2"/>
      <c r="BD197" s="2"/>
      <c r="BF197" s="2"/>
      <c r="BH197" s="2"/>
      <c r="BI197" s="2"/>
      <c r="BJ197" s="2"/>
    </row>
    <row r="198" ht="14.25" customHeight="1">
      <c r="E198" s="2"/>
      <c r="K198" s="2"/>
      <c r="L198" s="2"/>
      <c r="M198" s="2"/>
      <c r="N198" s="2"/>
      <c r="AD198" s="2"/>
      <c r="AE198" s="2"/>
      <c r="BA198" s="2"/>
      <c r="BD198" s="2"/>
      <c r="BF198" s="2"/>
      <c r="BH198" s="2"/>
      <c r="BI198" s="2"/>
      <c r="BJ198" s="2"/>
    </row>
    <row r="199" ht="14.25" customHeight="1">
      <c r="E199" s="2"/>
      <c r="K199" s="2"/>
      <c r="L199" s="2"/>
      <c r="M199" s="2"/>
      <c r="N199" s="2"/>
      <c r="AD199" s="2"/>
      <c r="AE199" s="2"/>
      <c r="BA199" s="2"/>
      <c r="BD199" s="2"/>
      <c r="BF199" s="2"/>
      <c r="BH199" s="2"/>
      <c r="BI199" s="2"/>
      <c r="BJ199" s="2"/>
    </row>
    <row r="200" ht="14.25" customHeight="1">
      <c r="E200" s="2"/>
      <c r="K200" s="2"/>
      <c r="L200" s="2"/>
      <c r="M200" s="2"/>
      <c r="N200" s="2"/>
      <c r="AD200" s="2"/>
      <c r="AE200" s="2"/>
      <c r="BA200" s="2"/>
      <c r="BD200" s="2"/>
      <c r="BF200" s="2"/>
      <c r="BH200" s="2"/>
      <c r="BI200" s="2"/>
      <c r="BJ200" s="2"/>
    </row>
    <row r="201" ht="14.25" customHeight="1">
      <c r="E201" s="2"/>
      <c r="K201" s="2"/>
      <c r="L201" s="2"/>
      <c r="M201" s="2"/>
      <c r="N201" s="2"/>
      <c r="AD201" s="2"/>
      <c r="AE201" s="2"/>
      <c r="BA201" s="2"/>
      <c r="BD201" s="2"/>
      <c r="BF201" s="2"/>
      <c r="BH201" s="2"/>
      <c r="BI201" s="2"/>
      <c r="BJ201" s="2"/>
    </row>
    <row r="202" ht="14.25" customHeight="1">
      <c r="E202" s="2"/>
      <c r="K202" s="2"/>
      <c r="L202" s="2"/>
      <c r="M202" s="2"/>
      <c r="N202" s="2"/>
      <c r="AD202" s="2"/>
      <c r="AE202" s="2"/>
      <c r="BA202" s="2"/>
      <c r="BD202" s="2"/>
      <c r="BF202" s="2"/>
      <c r="BH202" s="2"/>
      <c r="BI202" s="2"/>
      <c r="BJ202" s="2"/>
    </row>
    <row r="203" ht="14.25" customHeight="1">
      <c r="E203" s="2"/>
      <c r="K203" s="2"/>
      <c r="L203" s="2"/>
      <c r="M203" s="2"/>
      <c r="N203" s="2"/>
      <c r="AD203" s="2"/>
      <c r="AE203" s="2"/>
      <c r="BA203" s="2"/>
      <c r="BD203" s="2"/>
      <c r="BF203" s="2"/>
      <c r="BH203" s="2"/>
      <c r="BI203" s="2"/>
      <c r="BJ203" s="2"/>
    </row>
    <row r="204" ht="14.25" customHeight="1">
      <c r="E204" s="2"/>
      <c r="K204" s="2"/>
      <c r="L204" s="2"/>
      <c r="M204" s="2"/>
      <c r="N204" s="2"/>
      <c r="AD204" s="2"/>
      <c r="AE204" s="2"/>
      <c r="BA204" s="2"/>
      <c r="BD204" s="2"/>
      <c r="BF204" s="2"/>
      <c r="BH204" s="2"/>
      <c r="BI204" s="2"/>
      <c r="BJ204" s="2"/>
    </row>
    <row r="205" ht="14.25" customHeight="1">
      <c r="E205" s="2"/>
      <c r="K205" s="2"/>
      <c r="L205" s="2"/>
      <c r="M205" s="2"/>
      <c r="N205" s="2"/>
      <c r="AD205" s="2"/>
      <c r="AE205" s="2"/>
      <c r="BA205" s="2"/>
      <c r="BD205" s="2"/>
      <c r="BF205" s="2"/>
      <c r="BH205" s="2"/>
      <c r="BI205" s="2"/>
      <c r="BJ205" s="2"/>
    </row>
    <row r="206" ht="14.25" customHeight="1">
      <c r="E206" s="2"/>
      <c r="K206" s="2"/>
      <c r="L206" s="2"/>
      <c r="M206" s="2"/>
      <c r="N206" s="2"/>
      <c r="AD206" s="2"/>
      <c r="AE206" s="2"/>
      <c r="BA206" s="2"/>
      <c r="BD206" s="2"/>
      <c r="BF206" s="2"/>
      <c r="BH206" s="2"/>
      <c r="BI206" s="2"/>
      <c r="BJ206" s="2"/>
    </row>
    <row r="207" ht="14.25" customHeight="1">
      <c r="E207" s="2"/>
      <c r="K207" s="2"/>
      <c r="L207" s="2"/>
      <c r="M207" s="2"/>
      <c r="N207" s="2"/>
      <c r="AD207" s="2"/>
      <c r="AE207" s="2"/>
      <c r="BA207" s="2"/>
      <c r="BD207" s="2"/>
      <c r="BF207" s="2"/>
      <c r="BH207" s="2"/>
      <c r="BI207" s="2"/>
      <c r="BJ207" s="2"/>
    </row>
    <row r="208" ht="14.25" customHeight="1">
      <c r="E208" s="2"/>
      <c r="K208" s="2"/>
      <c r="L208" s="2"/>
      <c r="M208" s="2"/>
      <c r="N208" s="2"/>
      <c r="AD208" s="2"/>
      <c r="AE208" s="2"/>
      <c r="BA208" s="2"/>
      <c r="BD208" s="2"/>
      <c r="BF208" s="2"/>
      <c r="BH208" s="2"/>
      <c r="BI208" s="2"/>
      <c r="BJ208" s="2"/>
    </row>
    <row r="209" ht="14.25" customHeight="1">
      <c r="E209" s="2"/>
      <c r="K209" s="2"/>
      <c r="L209" s="2"/>
      <c r="M209" s="2"/>
      <c r="N209" s="2"/>
      <c r="AD209" s="2"/>
      <c r="AE209" s="2"/>
      <c r="BA209" s="2"/>
      <c r="BD209" s="2"/>
      <c r="BF209" s="2"/>
      <c r="BH209" s="2"/>
      <c r="BI209" s="2"/>
      <c r="BJ209" s="2"/>
    </row>
    <row r="210" ht="14.25" customHeight="1">
      <c r="E210" s="2"/>
      <c r="K210" s="2"/>
      <c r="L210" s="2"/>
      <c r="M210" s="2"/>
      <c r="N210" s="2"/>
      <c r="AD210" s="2"/>
      <c r="AE210" s="2"/>
      <c r="BA210" s="2"/>
      <c r="BD210" s="2"/>
      <c r="BF210" s="2"/>
      <c r="BH210" s="2"/>
      <c r="BI210" s="2"/>
      <c r="BJ210" s="2"/>
    </row>
    <row r="211" ht="14.25" customHeight="1">
      <c r="E211" s="2"/>
      <c r="K211" s="2"/>
      <c r="L211" s="2"/>
      <c r="M211" s="2"/>
      <c r="N211" s="2"/>
      <c r="AD211" s="2"/>
      <c r="AE211" s="2"/>
      <c r="BA211" s="2"/>
      <c r="BD211" s="2"/>
      <c r="BF211" s="2"/>
      <c r="BH211" s="2"/>
      <c r="BI211" s="2"/>
      <c r="BJ211" s="2"/>
    </row>
    <row r="212" ht="14.25" customHeight="1">
      <c r="E212" s="2"/>
      <c r="K212" s="2"/>
      <c r="L212" s="2"/>
      <c r="M212" s="2"/>
      <c r="N212" s="2"/>
      <c r="AD212" s="2"/>
      <c r="AE212" s="2"/>
      <c r="BA212" s="2"/>
      <c r="BD212" s="2"/>
      <c r="BF212" s="2"/>
      <c r="BH212" s="2"/>
      <c r="BI212" s="2"/>
      <c r="BJ212" s="2"/>
    </row>
    <row r="213" ht="14.25" customHeight="1">
      <c r="E213" s="2"/>
      <c r="K213" s="2"/>
      <c r="L213" s="2"/>
      <c r="M213" s="2"/>
      <c r="N213" s="2"/>
      <c r="AD213" s="2"/>
      <c r="AE213" s="2"/>
      <c r="BA213" s="2"/>
      <c r="BD213" s="2"/>
      <c r="BF213" s="2"/>
      <c r="BH213" s="2"/>
      <c r="BI213" s="2"/>
      <c r="BJ213" s="2"/>
    </row>
    <row r="214" ht="14.25" customHeight="1">
      <c r="E214" s="2"/>
      <c r="K214" s="2"/>
      <c r="L214" s="2"/>
      <c r="M214" s="2"/>
      <c r="N214" s="2"/>
      <c r="AD214" s="2"/>
      <c r="AE214" s="2"/>
      <c r="BA214" s="2"/>
      <c r="BD214" s="2"/>
      <c r="BF214" s="2"/>
      <c r="BH214" s="2"/>
      <c r="BI214" s="2"/>
      <c r="BJ214" s="2"/>
    </row>
    <row r="215" ht="14.25" customHeight="1">
      <c r="E215" s="2"/>
      <c r="K215" s="2"/>
      <c r="L215" s="2"/>
      <c r="M215" s="2"/>
      <c r="N215" s="2"/>
      <c r="AD215" s="2"/>
      <c r="AE215" s="2"/>
      <c r="BA215" s="2"/>
      <c r="BD215" s="2"/>
      <c r="BF215" s="2"/>
      <c r="BH215" s="2"/>
      <c r="BI215" s="2"/>
      <c r="BJ215" s="2"/>
    </row>
    <row r="216" ht="14.25" customHeight="1">
      <c r="E216" s="2"/>
      <c r="K216" s="2"/>
      <c r="L216" s="2"/>
      <c r="M216" s="2"/>
      <c r="N216" s="2"/>
      <c r="AD216" s="2"/>
      <c r="AE216" s="2"/>
      <c r="BA216" s="2"/>
      <c r="BD216" s="2"/>
      <c r="BF216" s="2"/>
      <c r="BH216" s="2"/>
      <c r="BI216" s="2"/>
      <c r="BJ216" s="2"/>
    </row>
    <row r="217" ht="14.25" customHeight="1">
      <c r="E217" s="2"/>
      <c r="K217" s="2"/>
      <c r="L217" s="2"/>
      <c r="M217" s="2"/>
      <c r="N217" s="2"/>
      <c r="AD217" s="2"/>
      <c r="AE217" s="2"/>
      <c r="BA217" s="2"/>
      <c r="BD217" s="2"/>
      <c r="BF217" s="2"/>
      <c r="BH217" s="2"/>
      <c r="BI217" s="2"/>
      <c r="BJ217" s="2"/>
    </row>
    <row r="218" ht="14.25" customHeight="1">
      <c r="E218" s="2"/>
      <c r="K218" s="2"/>
      <c r="L218" s="2"/>
      <c r="M218" s="2"/>
      <c r="N218" s="2"/>
      <c r="AD218" s="2"/>
      <c r="AE218" s="2"/>
      <c r="BA218" s="2"/>
      <c r="BD218" s="2"/>
      <c r="BF218" s="2"/>
      <c r="BH218" s="2"/>
      <c r="BI218" s="2"/>
      <c r="BJ218" s="2"/>
    </row>
    <row r="219" ht="14.25" customHeight="1">
      <c r="E219" s="2"/>
      <c r="K219" s="2"/>
      <c r="L219" s="2"/>
      <c r="M219" s="2"/>
      <c r="N219" s="2"/>
      <c r="AD219" s="2"/>
      <c r="AE219" s="2"/>
      <c r="BA219" s="2"/>
      <c r="BD219" s="2"/>
      <c r="BF219" s="2"/>
      <c r="BH219" s="2"/>
      <c r="BI219" s="2"/>
      <c r="BJ219" s="2"/>
    </row>
    <row r="220" ht="14.25" customHeight="1">
      <c r="E220" s="2"/>
      <c r="K220" s="2"/>
      <c r="L220" s="2"/>
      <c r="M220" s="2"/>
      <c r="N220" s="2"/>
      <c r="AD220" s="2"/>
      <c r="AE220" s="2"/>
      <c r="BA220" s="2"/>
      <c r="BD220" s="2"/>
      <c r="BF220" s="2"/>
      <c r="BH220" s="2"/>
      <c r="BI220" s="2"/>
      <c r="BJ220" s="2"/>
    </row>
    <row r="221" ht="14.25" customHeight="1">
      <c r="E221" s="2"/>
      <c r="K221" s="2"/>
      <c r="L221" s="2"/>
      <c r="M221" s="2"/>
      <c r="N221" s="2"/>
      <c r="AD221" s="2"/>
      <c r="AE221" s="2"/>
      <c r="BA221" s="2"/>
      <c r="BD221" s="2"/>
      <c r="BF221" s="2"/>
      <c r="BH221" s="2"/>
      <c r="BI221" s="2"/>
      <c r="BJ221" s="2"/>
    </row>
    <row r="222" ht="14.25" customHeight="1">
      <c r="E222" s="2"/>
      <c r="K222" s="2"/>
      <c r="L222" s="2"/>
      <c r="M222" s="2"/>
      <c r="N222" s="2"/>
      <c r="AD222" s="2"/>
      <c r="AE222" s="2"/>
      <c r="BA222" s="2"/>
      <c r="BD222" s="2"/>
      <c r="BF222" s="2"/>
      <c r="BH222" s="2"/>
      <c r="BI222" s="2"/>
      <c r="BJ222" s="2"/>
    </row>
    <row r="223" ht="14.25" customHeight="1">
      <c r="E223" s="2"/>
      <c r="K223" s="2"/>
      <c r="L223" s="2"/>
      <c r="M223" s="2"/>
      <c r="N223" s="2"/>
      <c r="AD223" s="2"/>
      <c r="AE223" s="2"/>
      <c r="BA223" s="2"/>
      <c r="BD223" s="2"/>
      <c r="BF223" s="2"/>
      <c r="BH223" s="2"/>
      <c r="BI223" s="2"/>
      <c r="BJ223" s="2"/>
    </row>
    <row r="224" ht="14.25" customHeight="1">
      <c r="E224" s="2"/>
      <c r="K224" s="2"/>
      <c r="L224" s="2"/>
      <c r="M224" s="2"/>
      <c r="N224" s="2"/>
      <c r="AD224" s="2"/>
      <c r="AE224" s="2"/>
      <c r="BA224" s="2"/>
      <c r="BD224" s="2"/>
      <c r="BF224" s="2"/>
      <c r="BH224" s="2"/>
      <c r="BI224" s="2"/>
      <c r="BJ224" s="2"/>
    </row>
    <row r="225" ht="14.25" customHeight="1">
      <c r="E225" s="2"/>
      <c r="K225" s="2"/>
      <c r="L225" s="2"/>
      <c r="M225" s="2"/>
      <c r="N225" s="2"/>
      <c r="AD225" s="2"/>
      <c r="AE225" s="2"/>
      <c r="BA225" s="2"/>
      <c r="BD225" s="2"/>
      <c r="BF225" s="2"/>
      <c r="BH225" s="2"/>
      <c r="BI225" s="2"/>
      <c r="BJ225" s="2"/>
    </row>
    <row r="226" ht="14.25" customHeight="1">
      <c r="E226" s="2"/>
      <c r="K226" s="2"/>
      <c r="L226" s="2"/>
      <c r="M226" s="2"/>
      <c r="N226" s="2"/>
      <c r="AD226" s="2"/>
      <c r="AE226" s="2"/>
      <c r="BA226" s="2"/>
      <c r="BD226" s="2"/>
      <c r="BF226" s="2"/>
      <c r="BH226" s="2"/>
      <c r="BI226" s="2"/>
      <c r="BJ226" s="2"/>
    </row>
    <row r="227" ht="14.25" customHeight="1">
      <c r="E227" s="2"/>
      <c r="K227" s="2"/>
      <c r="L227" s="2"/>
      <c r="M227" s="2"/>
      <c r="N227" s="2"/>
      <c r="AD227" s="2"/>
      <c r="AE227" s="2"/>
      <c r="BA227" s="2"/>
      <c r="BD227" s="2"/>
      <c r="BF227" s="2"/>
      <c r="BH227" s="2"/>
      <c r="BI227" s="2"/>
      <c r="BJ227" s="2"/>
    </row>
    <row r="228" ht="14.25" customHeight="1">
      <c r="E228" s="2"/>
      <c r="K228" s="2"/>
      <c r="L228" s="2"/>
      <c r="M228" s="2"/>
      <c r="N228" s="2"/>
      <c r="AD228" s="2"/>
      <c r="AE228" s="2"/>
      <c r="BA228" s="2"/>
      <c r="BD228" s="2"/>
      <c r="BF228" s="2"/>
      <c r="BH228" s="2"/>
      <c r="BI228" s="2"/>
      <c r="BJ228" s="2"/>
    </row>
    <row r="229" ht="14.25" customHeight="1">
      <c r="E229" s="2"/>
      <c r="K229" s="2"/>
      <c r="L229" s="2"/>
      <c r="M229" s="2"/>
      <c r="N229" s="2"/>
      <c r="AD229" s="2"/>
      <c r="AE229" s="2"/>
      <c r="BA229" s="2"/>
      <c r="BD229" s="2"/>
      <c r="BF229" s="2"/>
      <c r="BH229" s="2"/>
      <c r="BI229" s="2"/>
      <c r="BJ229" s="2"/>
    </row>
    <row r="230" ht="14.25" customHeight="1">
      <c r="E230" s="2"/>
      <c r="K230" s="2"/>
      <c r="L230" s="2"/>
      <c r="M230" s="2"/>
      <c r="N230" s="2"/>
      <c r="AD230" s="2"/>
      <c r="AE230" s="2"/>
      <c r="BA230" s="2"/>
      <c r="BD230" s="2"/>
      <c r="BF230" s="2"/>
      <c r="BH230" s="2"/>
      <c r="BI230" s="2"/>
      <c r="BJ230" s="2"/>
    </row>
    <row r="231" ht="14.25" customHeight="1">
      <c r="E231" s="2"/>
      <c r="K231" s="2"/>
      <c r="L231" s="2"/>
      <c r="M231" s="2"/>
      <c r="N231" s="2"/>
      <c r="AD231" s="2"/>
      <c r="AE231" s="2"/>
      <c r="BA231" s="2"/>
      <c r="BD231" s="2"/>
      <c r="BF231" s="2"/>
      <c r="BH231" s="2"/>
      <c r="BI231" s="2"/>
      <c r="BJ231" s="2"/>
    </row>
    <row r="232" ht="14.25" customHeight="1">
      <c r="E232" s="2"/>
      <c r="K232" s="2"/>
      <c r="L232" s="2"/>
      <c r="M232" s="2"/>
      <c r="N232" s="2"/>
      <c r="AD232" s="2"/>
      <c r="AE232" s="2"/>
      <c r="BA232" s="2"/>
      <c r="BD232" s="2"/>
      <c r="BF232" s="2"/>
      <c r="BH232" s="2"/>
      <c r="BI232" s="2"/>
      <c r="BJ232" s="2"/>
    </row>
    <row r="233" ht="14.25" customHeight="1">
      <c r="E233" s="2"/>
      <c r="K233" s="2"/>
      <c r="L233" s="2"/>
      <c r="M233" s="2"/>
      <c r="N233" s="2"/>
      <c r="AD233" s="2"/>
      <c r="AE233" s="2"/>
      <c r="BA233" s="2"/>
      <c r="BD233" s="2"/>
      <c r="BF233" s="2"/>
      <c r="BH233" s="2"/>
      <c r="BI233" s="2"/>
      <c r="BJ233" s="2"/>
    </row>
    <row r="234" ht="14.25" customHeight="1">
      <c r="E234" s="2"/>
      <c r="K234" s="2"/>
      <c r="L234" s="2"/>
      <c r="M234" s="2"/>
      <c r="N234" s="2"/>
      <c r="AD234" s="2"/>
      <c r="AE234" s="2"/>
      <c r="BA234" s="2"/>
      <c r="BD234" s="2"/>
      <c r="BF234" s="2"/>
      <c r="BH234" s="2"/>
      <c r="BI234" s="2"/>
      <c r="BJ234" s="2"/>
    </row>
    <row r="235" ht="14.25" customHeight="1">
      <c r="E235" s="2"/>
      <c r="K235" s="2"/>
      <c r="L235" s="2"/>
      <c r="M235" s="2"/>
      <c r="N235" s="2"/>
      <c r="AD235" s="2"/>
      <c r="AE235" s="2"/>
      <c r="BA235" s="2"/>
      <c r="BD235" s="2"/>
      <c r="BF235" s="2"/>
      <c r="BH235" s="2"/>
      <c r="BI235" s="2"/>
      <c r="BJ235" s="2"/>
    </row>
    <row r="236" ht="14.25" customHeight="1">
      <c r="E236" s="2"/>
      <c r="K236" s="2"/>
      <c r="L236" s="2"/>
      <c r="M236" s="2"/>
      <c r="N236" s="2"/>
      <c r="AD236" s="2"/>
      <c r="AE236" s="2"/>
      <c r="BA236" s="2"/>
      <c r="BD236" s="2"/>
      <c r="BF236" s="2"/>
      <c r="BH236" s="2"/>
      <c r="BI236" s="2"/>
      <c r="BJ236" s="2"/>
    </row>
    <row r="237" ht="14.25" customHeight="1">
      <c r="E237" s="2"/>
      <c r="K237" s="2"/>
      <c r="L237" s="2"/>
      <c r="M237" s="2"/>
      <c r="N237" s="2"/>
      <c r="AD237" s="2"/>
      <c r="AE237" s="2"/>
      <c r="BA237" s="2"/>
      <c r="BD237" s="2"/>
      <c r="BF237" s="2"/>
      <c r="BH237" s="2"/>
      <c r="BI237" s="2"/>
      <c r="BJ237" s="2"/>
    </row>
    <row r="238" ht="14.25" customHeight="1">
      <c r="E238" s="2"/>
      <c r="K238" s="2"/>
      <c r="L238" s="2"/>
      <c r="M238" s="2"/>
      <c r="N238" s="2"/>
      <c r="AD238" s="2"/>
      <c r="AE238" s="2"/>
      <c r="BA238" s="2"/>
      <c r="BD238" s="2"/>
      <c r="BF238" s="2"/>
      <c r="BH238" s="2"/>
      <c r="BI238" s="2"/>
      <c r="BJ238" s="2"/>
    </row>
    <row r="239" ht="14.25" customHeight="1">
      <c r="E239" s="2"/>
      <c r="K239" s="2"/>
      <c r="L239" s="2"/>
      <c r="M239" s="2"/>
      <c r="N239" s="2"/>
      <c r="AD239" s="2"/>
      <c r="AE239" s="2"/>
      <c r="BA239" s="2"/>
      <c r="BD239" s="2"/>
      <c r="BF239" s="2"/>
      <c r="BH239" s="2"/>
      <c r="BI239" s="2"/>
      <c r="BJ239" s="2"/>
    </row>
    <row r="240" ht="14.25" customHeight="1">
      <c r="E240" s="2"/>
      <c r="K240" s="2"/>
      <c r="L240" s="2"/>
      <c r="M240" s="2"/>
      <c r="N240" s="2"/>
      <c r="AD240" s="2"/>
      <c r="AE240" s="2"/>
      <c r="BA240" s="2"/>
      <c r="BD240" s="2"/>
      <c r="BF240" s="2"/>
      <c r="BH240" s="2"/>
      <c r="BI240" s="2"/>
      <c r="BJ240" s="2"/>
    </row>
    <row r="241" ht="14.25" customHeight="1">
      <c r="E241" s="2"/>
      <c r="K241" s="2"/>
      <c r="L241" s="2"/>
      <c r="M241" s="2"/>
      <c r="N241" s="2"/>
      <c r="AD241" s="2"/>
      <c r="AE241" s="2"/>
      <c r="BA241" s="2"/>
      <c r="BD241" s="2"/>
      <c r="BF241" s="2"/>
      <c r="BH241" s="2"/>
      <c r="BI241" s="2"/>
      <c r="BJ241" s="2"/>
    </row>
    <row r="242" ht="14.25" customHeight="1">
      <c r="E242" s="2"/>
      <c r="K242" s="2"/>
      <c r="L242" s="2"/>
      <c r="M242" s="2"/>
      <c r="N242" s="2"/>
      <c r="AD242" s="2"/>
      <c r="AE242" s="2"/>
      <c r="BA242" s="2"/>
      <c r="BD242" s="2"/>
      <c r="BF242" s="2"/>
      <c r="BH242" s="2"/>
      <c r="BI242" s="2"/>
      <c r="BJ242" s="2"/>
    </row>
    <row r="243" ht="14.25" customHeight="1">
      <c r="E243" s="2"/>
      <c r="K243" s="2"/>
      <c r="L243" s="2"/>
      <c r="M243" s="2"/>
      <c r="N243" s="2"/>
      <c r="AD243" s="2"/>
      <c r="AE243" s="2"/>
      <c r="BA243" s="2"/>
      <c r="BD243" s="2"/>
      <c r="BF243" s="2"/>
      <c r="BH243" s="2"/>
      <c r="BI243" s="2"/>
      <c r="BJ243" s="2"/>
    </row>
    <row r="244" ht="14.25" customHeight="1">
      <c r="E244" s="2"/>
      <c r="K244" s="2"/>
      <c r="L244" s="2"/>
      <c r="M244" s="2"/>
      <c r="N244" s="2"/>
      <c r="AD244" s="2"/>
      <c r="AE244" s="2"/>
      <c r="BA244" s="2"/>
      <c r="BD244" s="2"/>
      <c r="BF244" s="2"/>
      <c r="BH244" s="2"/>
      <c r="BI244" s="2"/>
      <c r="BJ244" s="2"/>
    </row>
    <row r="245" ht="14.25" customHeight="1">
      <c r="E245" s="2"/>
      <c r="K245" s="2"/>
      <c r="L245" s="2"/>
      <c r="M245" s="2"/>
      <c r="N245" s="2"/>
      <c r="AD245" s="2"/>
      <c r="AE245" s="2"/>
      <c r="BA245" s="2"/>
      <c r="BD245" s="2"/>
      <c r="BF245" s="2"/>
      <c r="BH245" s="2"/>
      <c r="BI245" s="2"/>
      <c r="BJ245" s="2"/>
    </row>
    <row r="246" ht="14.25" customHeight="1">
      <c r="E246" s="2"/>
      <c r="K246" s="2"/>
      <c r="L246" s="2"/>
      <c r="M246" s="2"/>
      <c r="N246" s="2"/>
      <c r="AD246" s="2"/>
      <c r="AE246" s="2"/>
      <c r="BA246" s="2"/>
      <c r="BD246" s="2"/>
      <c r="BF246" s="2"/>
      <c r="BH246" s="2"/>
      <c r="BI246" s="2"/>
      <c r="BJ246" s="2"/>
    </row>
    <row r="247" ht="14.25" customHeight="1">
      <c r="E247" s="2"/>
      <c r="K247" s="2"/>
      <c r="L247" s="2"/>
      <c r="M247" s="2"/>
      <c r="N247" s="2"/>
      <c r="AD247" s="2"/>
      <c r="AE247" s="2"/>
      <c r="BA247" s="2"/>
      <c r="BD247" s="2"/>
      <c r="BF247" s="2"/>
      <c r="BH247" s="2"/>
      <c r="BI247" s="2"/>
      <c r="BJ247" s="2"/>
    </row>
    <row r="248" ht="14.25" customHeight="1">
      <c r="E248" s="2"/>
      <c r="K248" s="2"/>
      <c r="L248" s="2"/>
      <c r="M248" s="2"/>
      <c r="N248" s="2"/>
      <c r="AD248" s="2"/>
      <c r="AE248" s="2"/>
      <c r="BA248" s="2"/>
      <c r="BD248" s="2"/>
      <c r="BF248" s="2"/>
      <c r="BH248" s="2"/>
      <c r="BI248" s="2"/>
      <c r="BJ248" s="2"/>
    </row>
    <row r="249" ht="14.25" customHeight="1">
      <c r="E249" s="2"/>
      <c r="K249" s="2"/>
      <c r="L249" s="2"/>
      <c r="M249" s="2"/>
      <c r="N249" s="2"/>
      <c r="AD249" s="2"/>
      <c r="AE249" s="2"/>
      <c r="BA249" s="2"/>
      <c r="BD249" s="2"/>
      <c r="BF249" s="2"/>
      <c r="BH249" s="2"/>
      <c r="BI249" s="2"/>
      <c r="BJ249" s="2"/>
    </row>
    <row r="250" ht="14.25" customHeight="1">
      <c r="E250" s="2"/>
      <c r="K250" s="2"/>
      <c r="L250" s="2"/>
      <c r="M250" s="2"/>
      <c r="N250" s="2"/>
      <c r="AD250" s="2"/>
      <c r="AE250" s="2"/>
      <c r="BA250" s="2"/>
      <c r="BD250" s="2"/>
      <c r="BF250" s="2"/>
      <c r="BH250" s="2"/>
      <c r="BI250" s="2"/>
      <c r="BJ250" s="2"/>
    </row>
    <row r="251" ht="14.25" customHeight="1">
      <c r="E251" s="2"/>
      <c r="K251" s="2"/>
      <c r="L251" s="2"/>
      <c r="M251" s="2"/>
      <c r="N251" s="2"/>
      <c r="AD251" s="2"/>
      <c r="AE251" s="2"/>
      <c r="BA251" s="2"/>
      <c r="BD251" s="2"/>
      <c r="BF251" s="2"/>
      <c r="BH251" s="2"/>
      <c r="BI251" s="2"/>
      <c r="BJ251" s="2"/>
    </row>
    <row r="252" ht="14.25" customHeight="1">
      <c r="E252" s="2"/>
      <c r="K252" s="2"/>
      <c r="L252" s="2"/>
      <c r="M252" s="2"/>
      <c r="N252" s="2"/>
      <c r="AD252" s="2"/>
      <c r="AE252" s="2"/>
      <c r="BA252" s="2"/>
      <c r="BD252" s="2"/>
      <c r="BF252" s="2"/>
      <c r="BH252" s="2"/>
      <c r="BI252" s="2"/>
      <c r="BJ252" s="2"/>
    </row>
    <row r="253" ht="14.25" customHeight="1">
      <c r="E253" s="2"/>
      <c r="K253" s="2"/>
      <c r="L253" s="2"/>
      <c r="M253" s="2"/>
      <c r="N253" s="2"/>
      <c r="AD253" s="2"/>
      <c r="AE253" s="2"/>
      <c r="BA253" s="2"/>
      <c r="BD253" s="2"/>
      <c r="BF253" s="2"/>
      <c r="BH253" s="2"/>
      <c r="BI253" s="2"/>
      <c r="BJ253" s="2"/>
    </row>
    <row r="254" ht="14.25" customHeight="1">
      <c r="E254" s="2"/>
      <c r="K254" s="2"/>
      <c r="L254" s="2"/>
      <c r="M254" s="2"/>
      <c r="N254" s="2"/>
      <c r="AD254" s="2"/>
      <c r="AE254" s="2"/>
      <c r="BA254" s="2"/>
      <c r="BD254" s="2"/>
      <c r="BF254" s="2"/>
      <c r="BH254" s="2"/>
      <c r="BI254" s="2"/>
      <c r="BJ254" s="2"/>
    </row>
    <row r="255" ht="14.25" customHeight="1">
      <c r="E255" s="2"/>
      <c r="K255" s="2"/>
      <c r="L255" s="2"/>
      <c r="M255" s="2"/>
      <c r="N255" s="2"/>
      <c r="AD255" s="2"/>
      <c r="AE255" s="2"/>
      <c r="BA255" s="2"/>
      <c r="BD255" s="2"/>
      <c r="BF255" s="2"/>
      <c r="BH255" s="2"/>
      <c r="BI255" s="2"/>
      <c r="BJ255" s="2"/>
    </row>
    <row r="256" ht="14.25" customHeight="1">
      <c r="E256" s="2"/>
      <c r="K256" s="2"/>
      <c r="L256" s="2"/>
      <c r="M256" s="2"/>
      <c r="N256" s="2"/>
      <c r="AD256" s="2"/>
      <c r="AE256" s="2"/>
      <c r="BA256" s="2"/>
      <c r="BD256" s="2"/>
      <c r="BF256" s="2"/>
      <c r="BH256" s="2"/>
      <c r="BI256" s="2"/>
      <c r="BJ256" s="2"/>
    </row>
    <row r="257" ht="14.25" customHeight="1">
      <c r="E257" s="2"/>
      <c r="K257" s="2"/>
      <c r="L257" s="2"/>
      <c r="M257" s="2"/>
      <c r="N257" s="2"/>
      <c r="AD257" s="2"/>
      <c r="AE257" s="2"/>
      <c r="BA257" s="2"/>
      <c r="BD257" s="2"/>
      <c r="BF257" s="2"/>
      <c r="BH257" s="2"/>
      <c r="BI257" s="2"/>
      <c r="BJ257" s="2"/>
    </row>
    <row r="258" ht="14.25" customHeight="1">
      <c r="E258" s="2"/>
      <c r="K258" s="2"/>
      <c r="L258" s="2"/>
      <c r="M258" s="2"/>
      <c r="N258" s="2"/>
      <c r="AD258" s="2"/>
      <c r="AE258" s="2"/>
      <c r="BA258" s="2"/>
      <c r="BD258" s="2"/>
      <c r="BF258" s="2"/>
      <c r="BH258" s="2"/>
      <c r="BI258" s="2"/>
      <c r="BJ258" s="2"/>
    </row>
    <row r="259" ht="14.25" customHeight="1">
      <c r="E259" s="2"/>
      <c r="K259" s="2"/>
      <c r="L259" s="2"/>
      <c r="M259" s="2"/>
      <c r="N259" s="2"/>
      <c r="AD259" s="2"/>
      <c r="AE259" s="2"/>
      <c r="BA259" s="2"/>
      <c r="BD259" s="2"/>
      <c r="BF259" s="2"/>
      <c r="BH259" s="2"/>
      <c r="BI259" s="2"/>
      <c r="BJ259" s="2"/>
    </row>
    <row r="260" ht="14.25" customHeight="1">
      <c r="E260" s="2"/>
      <c r="K260" s="2"/>
      <c r="L260" s="2"/>
      <c r="M260" s="2"/>
      <c r="N260" s="2"/>
      <c r="AD260" s="2"/>
      <c r="AE260" s="2"/>
      <c r="BA260" s="2"/>
      <c r="BD260" s="2"/>
      <c r="BF260" s="2"/>
      <c r="BH260" s="2"/>
      <c r="BI260" s="2"/>
      <c r="BJ260" s="2"/>
    </row>
    <row r="261" ht="14.25" customHeight="1">
      <c r="E261" s="2"/>
      <c r="K261" s="2"/>
      <c r="L261" s="2"/>
      <c r="M261" s="2"/>
      <c r="N261" s="2"/>
      <c r="AD261" s="2"/>
      <c r="AE261" s="2"/>
      <c r="BA261" s="2"/>
      <c r="BD261" s="2"/>
      <c r="BF261" s="2"/>
      <c r="BH261" s="2"/>
      <c r="BI261" s="2"/>
      <c r="BJ261" s="2"/>
    </row>
    <row r="262" ht="14.25" customHeight="1">
      <c r="E262" s="2"/>
      <c r="K262" s="2"/>
      <c r="L262" s="2"/>
      <c r="M262" s="2"/>
      <c r="N262" s="2"/>
      <c r="AD262" s="2"/>
      <c r="AE262" s="2"/>
      <c r="BA262" s="2"/>
      <c r="BD262" s="2"/>
      <c r="BF262" s="2"/>
      <c r="BH262" s="2"/>
      <c r="BI262" s="2"/>
      <c r="BJ262" s="2"/>
    </row>
    <row r="263" ht="14.25" customHeight="1">
      <c r="E263" s="2"/>
      <c r="K263" s="2"/>
      <c r="L263" s="2"/>
      <c r="M263" s="2"/>
      <c r="N263" s="2"/>
      <c r="AD263" s="2"/>
      <c r="AE263" s="2"/>
      <c r="BA263" s="2"/>
      <c r="BD263" s="2"/>
      <c r="BF263" s="2"/>
      <c r="BH263" s="2"/>
      <c r="BI263" s="2"/>
      <c r="BJ263" s="2"/>
    </row>
    <row r="264" ht="14.25" customHeight="1">
      <c r="E264" s="2"/>
      <c r="K264" s="2"/>
      <c r="L264" s="2"/>
      <c r="M264" s="2"/>
      <c r="N264" s="2"/>
      <c r="AD264" s="2"/>
      <c r="AE264" s="2"/>
      <c r="BA264" s="2"/>
      <c r="BD264" s="2"/>
      <c r="BF264" s="2"/>
      <c r="BH264" s="2"/>
      <c r="BI264" s="2"/>
      <c r="BJ264" s="2"/>
    </row>
    <row r="265" ht="14.25" customHeight="1">
      <c r="E265" s="2"/>
      <c r="K265" s="2"/>
      <c r="L265" s="2"/>
      <c r="M265" s="2"/>
      <c r="N265" s="2"/>
      <c r="AD265" s="2"/>
      <c r="AE265" s="2"/>
      <c r="BA265" s="2"/>
      <c r="BD265" s="2"/>
      <c r="BF265" s="2"/>
      <c r="BH265" s="2"/>
      <c r="BI265" s="2"/>
      <c r="BJ265" s="2"/>
    </row>
    <row r="266" ht="14.25" customHeight="1">
      <c r="E266" s="2"/>
      <c r="K266" s="2"/>
      <c r="L266" s="2"/>
      <c r="M266" s="2"/>
      <c r="N266" s="2"/>
      <c r="AD266" s="2"/>
      <c r="AE266" s="2"/>
      <c r="BA266" s="2"/>
      <c r="BD266" s="2"/>
      <c r="BF266" s="2"/>
      <c r="BH266" s="2"/>
      <c r="BI266" s="2"/>
      <c r="BJ266" s="2"/>
    </row>
    <row r="267" ht="14.25" customHeight="1">
      <c r="E267" s="2"/>
      <c r="K267" s="2"/>
      <c r="L267" s="2"/>
      <c r="M267" s="2"/>
      <c r="N267" s="2"/>
      <c r="AD267" s="2"/>
      <c r="AE267" s="2"/>
      <c r="BA267" s="2"/>
      <c r="BD267" s="2"/>
      <c r="BF267" s="2"/>
      <c r="BH267" s="2"/>
      <c r="BI267" s="2"/>
      <c r="BJ267" s="2"/>
    </row>
    <row r="268" ht="14.25" customHeight="1">
      <c r="E268" s="2"/>
      <c r="K268" s="2"/>
      <c r="L268" s="2"/>
      <c r="M268" s="2"/>
      <c r="N268" s="2"/>
      <c r="AD268" s="2"/>
      <c r="AE268" s="2"/>
      <c r="BA268" s="2"/>
      <c r="BD268" s="2"/>
      <c r="BF268" s="2"/>
      <c r="BH268" s="2"/>
      <c r="BI268" s="2"/>
      <c r="BJ268" s="2"/>
    </row>
    <row r="269" ht="14.25" customHeight="1">
      <c r="E269" s="2"/>
      <c r="K269" s="2"/>
      <c r="L269" s="2"/>
      <c r="M269" s="2"/>
      <c r="N269" s="2"/>
      <c r="AD269" s="2"/>
      <c r="AE269" s="2"/>
      <c r="BA269" s="2"/>
      <c r="BD269" s="2"/>
      <c r="BF269" s="2"/>
      <c r="BH269" s="2"/>
      <c r="BI269" s="2"/>
      <c r="BJ269" s="2"/>
    </row>
    <row r="270" ht="14.25" customHeight="1">
      <c r="E270" s="2"/>
      <c r="K270" s="2"/>
      <c r="L270" s="2"/>
      <c r="M270" s="2"/>
      <c r="N270" s="2"/>
      <c r="AD270" s="2"/>
      <c r="AE270" s="2"/>
      <c r="BA270" s="2"/>
      <c r="BD270" s="2"/>
      <c r="BF270" s="2"/>
      <c r="BH270" s="2"/>
      <c r="BI270" s="2"/>
      <c r="BJ270" s="2"/>
    </row>
    <row r="271" ht="14.25" customHeight="1">
      <c r="E271" s="2"/>
      <c r="K271" s="2"/>
      <c r="L271" s="2"/>
      <c r="M271" s="2"/>
      <c r="N271" s="2"/>
      <c r="AD271" s="2"/>
      <c r="AE271" s="2"/>
      <c r="BA271" s="2"/>
      <c r="BD271" s="2"/>
      <c r="BF271" s="2"/>
      <c r="BH271" s="2"/>
      <c r="BI271" s="2"/>
      <c r="BJ271" s="2"/>
    </row>
    <row r="272" ht="14.25" customHeight="1">
      <c r="E272" s="2"/>
      <c r="K272" s="2"/>
      <c r="L272" s="2"/>
      <c r="M272" s="2"/>
      <c r="N272" s="2"/>
      <c r="AD272" s="2"/>
      <c r="AE272" s="2"/>
      <c r="BA272" s="2"/>
      <c r="BD272" s="2"/>
      <c r="BF272" s="2"/>
      <c r="BH272" s="2"/>
      <c r="BI272" s="2"/>
      <c r="BJ272" s="2"/>
    </row>
    <row r="273" ht="14.25" customHeight="1">
      <c r="E273" s="2"/>
      <c r="K273" s="2"/>
      <c r="L273" s="2"/>
      <c r="M273" s="2"/>
      <c r="N273" s="2"/>
      <c r="AD273" s="2"/>
      <c r="AE273" s="2"/>
      <c r="BA273" s="2"/>
      <c r="BD273" s="2"/>
      <c r="BF273" s="2"/>
      <c r="BH273" s="2"/>
      <c r="BI273" s="2"/>
      <c r="BJ273" s="2"/>
    </row>
    <row r="274" ht="14.25" customHeight="1">
      <c r="E274" s="2"/>
      <c r="K274" s="2"/>
      <c r="L274" s="2"/>
      <c r="M274" s="2"/>
      <c r="N274" s="2"/>
      <c r="AD274" s="2"/>
      <c r="AE274" s="2"/>
      <c r="BA274" s="2"/>
      <c r="BD274" s="2"/>
      <c r="BF274" s="2"/>
      <c r="BH274" s="2"/>
      <c r="BI274" s="2"/>
      <c r="BJ274" s="2"/>
    </row>
    <row r="275" ht="14.25" customHeight="1">
      <c r="E275" s="2"/>
      <c r="K275" s="2"/>
      <c r="L275" s="2"/>
      <c r="M275" s="2"/>
      <c r="N275" s="2"/>
      <c r="AD275" s="2"/>
      <c r="AE275" s="2"/>
      <c r="BA275" s="2"/>
      <c r="BD275" s="2"/>
      <c r="BF275" s="2"/>
      <c r="BH275" s="2"/>
      <c r="BI275" s="2"/>
      <c r="BJ275" s="2"/>
    </row>
    <row r="276" ht="14.25" customHeight="1">
      <c r="E276" s="2"/>
      <c r="K276" s="2"/>
      <c r="L276" s="2"/>
      <c r="M276" s="2"/>
      <c r="N276" s="2"/>
      <c r="AD276" s="2"/>
      <c r="AE276" s="2"/>
      <c r="BA276" s="2"/>
      <c r="BD276" s="2"/>
      <c r="BF276" s="2"/>
      <c r="BH276" s="2"/>
      <c r="BI276" s="2"/>
      <c r="BJ276" s="2"/>
    </row>
    <row r="277" ht="14.25" customHeight="1">
      <c r="E277" s="2"/>
      <c r="K277" s="2"/>
      <c r="L277" s="2"/>
      <c r="M277" s="2"/>
      <c r="N277" s="2"/>
      <c r="AD277" s="2"/>
      <c r="AE277" s="2"/>
      <c r="BA277" s="2"/>
      <c r="BD277" s="2"/>
      <c r="BF277" s="2"/>
      <c r="BH277" s="2"/>
      <c r="BI277" s="2"/>
      <c r="BJ277" s="2"/>
    </row>
    <row r="278" ht="14.25" customHeight="1">
      <c r="E278" s="2"/>
      <c r="K278" s="2"/>
      <c r="L278" s="2"/>
      <c r="M278" s="2"/>
      <c r="N278" s="2"/>
      <c r="AD278" s="2"/>
      <c r="AE278" s="2"/>
      <c r="BA278" s="2"/>
      <c r="BD278" s="2"/>
      <c r="BF278" s="2"/>
      <c r="BH278" s="2"/>
      <c r="BI278" s="2"/>
      <c r="BJ278" s="2"/>
    </row>
    <row r="279" ht="14.25" customHeight="1">
      <c r="E279" s="2"/>
      <c r="K279" s="2"/>
      <c r="L279" s="2"/>
      <c r="M279" s="2"/>
      <c r="N279" s="2"/>
      <c r="AD279" s="2"/>
      <c r="AE279" s="2"/>
      <c r="BA279" s="2"/>
      <c r="BD279" s="2"/>
      <c r="BF279" s="2"/>
      <c r="BH279" s="2"/>
      <c r="BI279" s="2"/>
      <c r="BJ279" s="2"/>
    </row>
    <row r="280" ht="14.25" customHeight="1">
      <c r="E280" s="2"/>
      <c r="K280" s="2"/>
      <c r="L280" s="2"/>
      <c r="M280" s="2"/>
      <c r="N280" s="2"/>
      <c r="AD280" s="2"/>
      <c r="AE280" s="2"/>
      <c r="BA280" s="2"/>
      <c r="BD280" s="2"/>
      <c r="BF280" s="2"/>
      <c r="BH280" s="2"/>
      <c r="BI280" s="2"/>
      <c r="BJ280" s="2"/>
    </row>
    <row r="281" ht="14.25" customHeight="1">
      <c r="E281" s="2"/>
      <c r="K281" s="2"/>
      <c r="L281" s="2"/>
      <c r="M281" s="2"/>
      <c r="N281" s="2"/>
      <c r="AD281" s="2"/>
      <c r="AE281" s="2"/>
      <c r="BA281" s="2"/>
      <c r="BD281" s="2"/>
      <c r="BF281" s="2"/>
      <c r="BH281" s="2"/>
      <c r="BI281" s="2"/>
      <c r="BJ281" s="2"/>
    </row>
    <row r="282" ht="14.25" customHeight="1">
      <c r="E282" s="2"/>
      <c r="K282" s="2"/>
      <c r="L282" s="2"/>
      <c r="M282" s="2"/>
      <c r="N282" s="2"/>
      <c r="AD282" s="2"/>
      <c r="AE282" s="2"/>
      <c r="BA282" s="2"/>
      <c r="BD282" s="2"/>
      <c r="BF282" s="2"/>
      <c r="BH282" s="2"/>
      <c r="BI282" s="2"/>
      <c r="BJ282" s="2"/>
    </row>
    <row r="283" ht="14.25" customHeight="1">
      <c r="E283" s="2"/>
      <c r="K283" s="2"/>
      <c r="L283" s="2"/>
      <c r="M283" s="2"/>
      <c r="N283" s="2"/>
      <c r="AD283" s="2"/>
      <c r="AE283" s="2"/>
      <c r="BA283" s="2"/>
      <c r="BD283" s="2"/>
      <c r="BF283" s="2"/>
      <c r="BH283" s="2"/>
      <c r="BI283" s="2"/>
      <c r="BJ283" s="2"/>
    </row>
    <row r="284" ht="14.25" customHeight="1">
      <c r="E284" s="2"/>
      <c r="K284" s="2"/>
      <c r="L284" s="2"/>
      <c r="M284" s="2"/>
      <c r="N284" s="2"/>
      <c r="AD284" s="2"/>
      <c r="AE284" s="2"/>
      <c r="BA284" s="2"/>
      <c r="BD284" s="2"/>
      <c r="BF284" s="2"/>
      <c r="BH284" s="2"/>
      <c r="BI284" s="2"/>
      <c r="BJ284" s="2"/>
    </row>
    <row r="285" ht="14.25" customHeight="1">
      <c r="E285" s="2"/>
      <c r="K285" s="2"/>
      <c r="L285" s="2"/>
      <c r="M285" s="2"/>
      <c r="N285" s="2"/>
      <c r="AD285" s="2"/>
      <c r="AE285" s="2"/>
      <c r="BA285" s="2"/>
      <c r="BD285" s="2"/>
      <c r="BF285" s="2"/>
      <c r="BH285" s="2"/>
      <c r="BI285" s="2"/>
      <c r="BJ285" s="2"/>
    </row>
    <row r="286" ht="14.25" customHeight="1">
      <c r="E286" s="2"/>
      <c r="K286" s="2"/>
      <c r="L286" s="2"/>
      <c r="M286" s="2"/>
      <c r="N286" s="2"/>
      <c r="AD286" s="2"/>
      <c r="AE286" s="2"/>
      <c r="BA286" s="2"/>
      <c r="BD286" s="2"/>
      <c r="BF286" s="2"/>
      <c r="BH286" s="2"/>
      <c r="BI286" s="2"/>
      <c r="BJ286" s="2"/>
    </row>
    <row r="287" ht="14.25" customHeight="1">
      <c r="E287" s="2"/>
      <c r="K287" s="2"/>
      <c r="L287" s="2"/>
      <c r="M287" s="2"/>
      <c r="N287" s="2"/>
      <c r="AD287" s="2"/>
      <c r="AE287" s="2"/>
      <c r="BA287" s="2"/>
      <c r="BD287" s="2"/>
      <c r="BF287" s="2"/>
      <c r="BH287" s="2"/>
      <c r="BI287" s="2"/>
      <c r="BJ287" s="2"/>
    </row>
    <row r="288" ht="14.25" customHeight="1">
      <c r="E288" s="2"/>
      <c r="K288" s="2"/>
      <c r="L288" s="2"/>
      <c r="M288" s="2"/>
      <c r="N288" s="2"/>
      <c r="AD288" s="2"/>
      <c r="AE288" s="2"/>
      <c r="BA288" s="2"/>
      <c r="BD288" s="2"/>
      <c r="BF288" s="2"/>
      <c r="BH288" s="2"/>
      <c r="BI288" s="2"/>
      <c r="BJ288" s="2"/>
    </row>
    <row r="289" ht="14.25" customHeight="1">
      <c r="E289" s="2"/>
      <c r="K289" s="2"/>
      <c r="L289" s="2"/>
      <c r="M289" s="2"/>
      <c r="N289" s="2"/>
      <c r="AD289" s="2"/>
      <c r="AE289" s="2"/>
      <c r="BA289" s="2"/>
      <c r="BD289" s="2"/>
      <c r="BF289" s="2"/>
      <c r="BH289" s="2"/>
      <c r="BI289" s="2"/>
      <c r="BJ289" s="2"/>
    </row>
    <row r="290" ht="14.25" customHeight="1">
      <c r="E290" s="2"/>
      <c r="K290" s="2"/>
      <c r="L290" s="2"/>
      <c r="M290" s="2"/>
      <c r="N290" s="2"/>
      <c r="AD290" s="2"/>
      <c r="AE290" s="2"/>
      <c r="BA290" s="2"/>
      <c r="BD290" s="2"/>
      <c r="BF290" s="2"/>
      <c r="BH290" s="2"/>
      <c r="BI290" s="2"/>
      <c r="BJ290" s="2"/>
    </row>
    <row r="291" ht="14.25" customHeight="1">
      <c r="E291" s="2"/>
      <c r="K291" s="2"/>
      <c r="L291" s="2"/>
      <c r="M291" s="2"/>
      <c r="N291" s="2"/>
      <c r="AD291" s="2"/>
      <c r="AE291" s="2"/>
      <c r="BA291" s="2"/>
      <c r="BD291" s="2"/>
      <c r="BF291" s="2"/>
      <c r="BH291" s="2"/>
      <c r="BI291" s="2"/>
      <c r="BJ291" s="2"/>
    </row>
    <row r="292" ht="14.25" customHeight="1">
      <c r="E292" s="2"/>
      <c r="K292" s="2"/>
      <c r="L292" s="2"/>
      <c r="M292" s="2"/>
      <c r="N292" s="2"/>
      <c r="AD292" s="2"/>
      <c r="AE292" s="2"/>
      <c r="BA292" s="2"/>
      <c r="BD292" s="2"/>
      <c r="BF292" s="2"/>
      <c r="BH292" s="2"/>
      <c r="BI292" s="2"/>
      <c r="BJ292" s="2"/>
    </row>
    <row r="293" ht="14.25" customHeight="1">
      <c r="E293" s="2"/>
      <c r="K293" s="2"/>
      <c r="L293" s="2"/>
      <c r="M293" s="2"/>
      <c r="N293" s="2"/>
      <c r="AD293" s="2"/>
      <c r="AE293" s="2"/>
      <c r="BA293" s="2"/>
      <c r="BD293" s="2"/>
      <c r="BF293" s="2"/>
      <c r="BH293" s="2"/>
      <c r="BI293" s="2"/>
      <c r="BJ293" s="2"/>
    </row>
    <row r="294" ht="14.25" customHeight="1">
      <c r="E294" s="2"/>
      <c r="K294" s="2"/>
      <c r="L294" s="2"/>
      <c r="M294" s="2"/>
      <c r="N294" s="2"/>
      <c r="AD294" s="2"/>
      <c r="AE294" s="2"/>
      <c r="BA294" s="2"/>
      <c r="BD294" s="2"/>
      <c r="BF294" s="2"/>
      <c r="BH294" s="2"/>
      <c r="BI294" s="2"/>
      <c r="BJ294" s="2"/>
    </row>
    <row r="295" ht="14.25" customHeight="1">
      <c r="E295" s="2"/>
      <c r="K295" s="2"/>
      <c r="L295" s="2"/>
      <c r="M295" s="2"/>
      <c r="N295" s="2"/>
      <c r="AD295" s="2"/>
      <c r="AE295" s="2"/>
      <c r="BA295" s="2"/>
      <c r="BD295" s="2"/>
      <c r="BF295" s="2"/>
      <c r="BH295" s="2"/>
      <c r="BI295" s="2"/>
      <c r="BJ295" s="2"/>
    </row>
    <row r="296" ht="14.25" customHeight="1">
      <c r="E296" s="2"/>
      <c r="K296" s="2"/>
      <c r="L296" s="2"/>
      <c r="M296" s="2"/>
      <c r="N296" s="2"/>
      <c r="AD296" s="2"/>
      <c r="AE296" s="2"/>
      <c r="BA296" s="2"/>
      <c r="BD296" s="2"/>
      <c r="BF296" s="2"/>
      <c r="BH296" s="2"/>
      <c r="BI296" s="2"/>
      <c r="BJ296" s="2"/>
    </row>
    <row r="297" ht="14.25" customHeight="1">
      <c r="E297" s="2"/>
      <c r="K297" s="2"/>
      <c r="L297" s="2"/>
      <c r="M297" s="2"/>
      <c r="N297" s="2"/>
      <c r="AD297" s="2"/>
      <c r="AE297" s="2"/>
      <c r="BA297" s="2"/>
      <c r="BD297" s="2"/>
      <c r="BF297" s="2"/>
      <c r="BH297" s="2"/>
      <c r="BI297" s="2"/>
      <c r="BJ297" s="2"/>
    </row>
    <row r="298" ht="14.25" customHeight="1">
      <c r="E298" s="2"/>
      <c r="K298" s="2"/>
      <c r="L298" s="2"/>
      <c r="M298" s="2"/>
      <c r="N298" s="2"/>
      <c r="AD298" s="2"/>
      <c r="AE298" s="2"/>
      <c r="BA298" s="2"/>
      <c r="BD298" s="2"/>
      <c r="BF298" s="2"/>
      <c r="BH298" s="2"/>
      <c r="BI298" s="2"/>
      <c r="BJ298" s="2"/>
    </row>
    <row r="299" ht="14.25" customHeight="1">
      <c r="E299" s="2"/>
      <c r="K299" s="2"/>
      <c r="L299" s="2"/>
      <c r="M299" s="2"/>
      <c r="N299" s="2"/>
      <c r="AD299" s="2"/>
      <c r="AE299" s="2"/>
      <c r="BA299" s="2"/>
      <c r="BD299" s="2"/>
      <c r="BF299" s="2"/>
      <c r="BH299" s="2"/>
      <c r="BI299" s="2"/>
      <c r="BJ299" s="2"/>
    </row>
    <row r="300" ht="14.25" customHeight="1">
      <c r="E300" s="2"/>
      <c r="K300" s="2"/>
      <c r="L300" s="2"/>
      <c r="M300" s="2"/>
      <c r="N300" s="2"/>
      <c r="AD300" s="2"/>
      <c r="AE300" s="2"/>
      <c r="BA300" s="2"/>
      <c r="BD300" s="2"/>
      <c r="BF300" s="2"/>
      <c r="BH300" s="2"/>
      <c r="BI300" s="2"/>
      <c r="BJ300" s="2"/>
    </row>
    <row r="301" ht="14.25" customHeight="1">
      <c r="E301" s="2"/>
      <c r="K301" s="2"/>
      <c r="L301" s="2"/>
      <c r="M301" s="2"/>
      <c r="N301" s="2"/>
      <c r="AD301" s="2"/>
      <c r="AE301" s="2"/>
      <c r="BA301" s="2"/>
      <c r="BD301" s="2"/>
      <c r="BF301" s="2"/>
      <c r="BH301" s="2"/>
      <c r="BI301" s="2"/>
      <c r="BJ301" s="2"/>
    </row>
    <row r="302" ht="14.25" customHeight="1">
      <c r="E302" s="2"/>
      <c r="K302" s="2"/>
      <c r="L302" s="2"/>
      <c r="M302" s="2"/>
      <c r="N302" s="2"/>
      <c r="AD302" s="2"/>
      <c r="AE302" s="2"/>
      <c r="BA302" s="2"/>
      <c r="BD302" s="2"/>
      <c r="BF302" s="2"/>
      <c r="BH302" s="2"/>
      <c r="BI302" s="2"/>
      <c r="BJ302" s="2"/>
    </row>
    <row r="303" ht="14.25" customHeight="1">
      <c r="E303" s="2"/>
      <c r="K303" s="2"/>
      <c r="L303" s="2"/>
      <c r="M303" s="2"/>
      <c r="N303" s="2"/>
      <c r="AD303" s="2"/>
      <c r="AE303" s="2"/>
      <c r="BA303" s="2"/>
      <c r="BD303" s="2"/>
      <c r="BF303" s="2"/>
      <c r="BH303" s="2"/>
      <c r="BI303" s="2"/>
      <c r="BJ303" s="2"/>
    </row>
    <row r="304" ht="14.25" customHeight="1">
      <c r="E304" s="2"/>
      <c r="K304" s="2"/>
      <c r="L304" s="2"/>
      <c r="M304" s="2"/>
      <c r="N304" s="2"/>
      <c r="AD304" s="2"/>
      <c r="AE304" s="2"/>
      <c r="BA304" s="2"/>
      <c r="BD304" s="2"/>
      <c r="BF304" s="2"/>
      <c r="BH304" s="2"/>
      <c r="BI304" s="2"/>
      <c r="BJ304" s="2"/>
    </row>
    <row r="305" ht="14.25" customHeight="1">
      <c r="E305" s="2"/>
      <c r="K305" s="2"/>
      <c r="L305" s="2"/>
      <c r="M305" s="2"/>
      <c r="N305" s="2"/>
      <c r="AD305" s="2"/>
      <c r="AE305" s="2"/>
      <c r="BA305" s="2"/>
      <c r="BD305" s="2"/>
      <c r="BF305" s="2"/>
      <c r="BH305" s="2"/>
      <c r="BI305" s="2"/>
      <c r="BJ305" s="2"/>
    </row>
    <row r="306" ht="14.25" customHeight="1">
      <c r="E306" s="2"/>
      <c r="K306" s="2"/>
      <c r="L306" s="2"/>
      <c r="M306" s="2"/>
      <c r="N306" s="2"/>
      <c r="AD306" s="2"/>
      <c r="AE306" s="2"/>
      <c r="BA306" s="2"/>
      <c r="BD306" s="2"/>
      <c r="BF306" s="2"/>
      <c r="BH306" s="2"/>
      <c r="BI306" s="2"/>
      <c r="BJ306" s="2"/>
    </row>
    <row r="307" ht="14.25" customHeight="1">
      <c r="E307" s="2"/>
      <c r="K307" s="2"/>
      <c r="L307" s="2"/>
      <c r="M307" s="2"/>
      <c r="N307" s="2"/>
      <c r="AD307" s="2"/>
      <c r="AE307" s="2"/>
      <c r="BA307" s="2"/>
      <c r="BD307" s="2"/>
      <c r="BF307" s="2"/>
      <c r="BH307" s="2"/>
      <c r="BI307" s="2"/>
      <c r="BJ307" s="2"/>
    </row>
    <row r="308" ht="14.25" customHeight="1">
      <c r="E308" s="2"/>
      <c r="K308" s="2"/>
      <c r="L308" s="2"/>
      <c r="M308" s="2"/>
      <c r="N308" s="2"/>
      <c r="AD308" s="2"/>
      <c r="AE308" s="2"/>
      <c r="BA308" s="2"/>
      <c r="BD308" s="2"/>
      <c r="BF308" s="2"/>
      <c r="BH308" s="2"/>
      <c r="BI308" s="2"/>
      <c r="BJ308" s="2"/>
    </row>
    <row r="309" ht="14.25" customHeight="1">
      <c r="E309" s="2"/>
      <c r="K309" s="2"/>
      <c r="L309" s="2"/>
      <c r="M309" s="2"/>
      <c r="N309" s="2"/>
      <c r="AD309" s="2"/>
      <c r="AE309" s="2"/>
      <c r="BA309" s="2"/>
      <c r="BD309" s="2"/>
      <c r="BF309" s="2"/>
      <c r="BH309" s="2"/>
      <c r="BI309" s="2"/>
      <c r="BJ309" s="2"/>
    </row>
    <row r="310" ht="14.25" customHeight="1">
      <c r="E310" s="2"/>
      <c r="K310" s="2"/>
      <c r="L310" s="2"/>
      <c r="M310" s="2"/>
      <c r="N310" s="2"/>
      <c r="AD310" s="2"/>
      <c r="AE310" s="2"/>
      <c r="BA310" s="2"/>
      <c r="BD310" s="2"/>
      <c r="BF310" s="2"/>
      <c r="BH310" s="2"/>
      <c r="BI310" s="2"/>
      <c r="BJ310" s="2"/>
    </row>
    <row r="311" ht="14.25" customHeight="1">
      <c r="E311" s="2"/>
      <c r="K311" s="2"/>
      <c r="L311" s="2"/>
      <c r="M311" s="2"/>
      <c r="N311" s="2"/>
      <c r="AD311" s="2"/>
      <c r="AE311" s="2"/>
      <c r="BA311" s="2"/>
      <c r="BD311" s="2"/>
      <c r="BF311" s="2"/>
      <c r="BH311" s="2"/>
      <c r="BI311" s="2"/>
      <c r="BJ311" s="2"/>
    </row>
    <row r="312" ht="14.25" customHeight="1">
      <c r="E312" s="2"/>
      <c r="K312" s="2"/>
      <c r="L312" s="2"/>
      <c r="M312" s="2"/>
      <c r="N312" s="2"/>
      <c r="AD312" s="2"/>
      <c r="AE312" s="2"/>
      <c r="BA312" s="2"/>
      <c r="BD312" s="2"/>
      <c r="BF312" s="2"/>
      <c r="BH312" s="2"/>
      <c r="BI312" s="2"/>
      <c r="BJ312" s="2"/>
    </row>
    <row r="313" ht="14.25" customHeight="1">
      <c r="E313" s="2"/>
      <c r="K313" s="2"/>
      <c r="L313" s="2"/>
      <c r="M313" s="2"/>
      <c r="N313" s="2"/>
      <c r="AD313" s="2"/>
      <c r="AE313" s="2"/>
      <c r="BA313" s="2"/>
      <c r="BD313" s="2"/>
      <c r="BF313" s="2"/>
      <c r="BH313" s="2"/>
      <c r="BI313" s="2"/>
      <c r="BJ313" s="2"/>
    </row>
    <row r="314" ht="14.25" customHeight="1">
      <c r="E314" s="2"/>
      <c r="K314" s="2"/>
      <c r="L314" s="2"/>
      <c r="M314" s="2"/>
      <c r="N314" s="2"/>
      <c r="AD314" s="2"/>
      <c r="AE314" s="2"/>
      <c r="BA314" s="2"/>
      <c r="BD314" s="2"/>
      <c r="BF314" s="2"/>
      <c r="BH314" s="2"/>
      <c r="BI314" s="2"/>
      <c r="BJ314" s="2"/>
    </row>
    <row r="315" ht="14.25" customHeight="1">
      <c r="E315" s="2"/>
      <c r="K315" s="2"/>
      <c r="L315" s="2"/>
      <c r="M315" s="2"/>
      <c r="N315" s="2"/>
      <c r="AD315" s="2"/>
      <c r="AE315" s="2"/>
      <c r="BA315" s="2"/>
      <c r="BD315" s="2"/>
      <c r="BF315" s="2"/>
      <c r="BH315" s="2"/>
      <c r="BI315" s="2"/>
      <c r="BJ315" s="2"/>
    </row>
    <row r="316" ht="14.25" customHeight="1">
      <c r="E316" s="2"/>
      <c r="K316" s="2"/>
      <c r="L316" s="2"/>
      <c r="M316" s="2"/>
      <c r="N316" s="2"/>
      <c r="AD316" s="2"/>
      <c r="AE316" s="2"/>
      <c r="BA316" s="2"/>
      <c r="BD316" s="2"/>
      <c r="BF316" s="2"/>
      <c r="BH316" s="2"/>
      <c r="BI316" s="2"/>
      <c r="BJ316" s="2"/>
    </row>
    <row r="317" ht="14.25" customHeight="1">
      <c r="E317" s="2"/>
      <c r="K317" s="2"/>
      <c r="L317" s="2"/>
      <c r="M317" s="2"/>
      <c r="N317" s="2"/>
      <c r="AD317" s="2"/>
      <c r="AE317" s="2"/>
      <c r="BA317" s="2"/>
      <c r="BD317" s="2"/>
      <c r="BF317" s="2"/>
      <c r="BH317" s="2"/>
      <c r="BI317" s="2"/>
      <c r="BJ317" s="2"/>
    </row>
    <row r="318" ht="14.25" customHeight="1">
      <c r="E318" s="2"/>
      <c r="K318" s="2"/>
      <c r="L318" s="2"/>
      <c r="M318" s="2"/>
      <c r="N318" s="2"/>
      <c r="AD318" s="2"/>
      <c r="AE318" s="2"/>
      <c r="BA318" s="2"/>
      <c r="BD318" s="2"/>
      <c r="BF318" s="2"/>
      <c r="BH318" s="2"/>
      <c r="BI318" s="2"/>
      <c r="BJ318" s="2"/>
    </row>
    <row r="319" ht="14.25" customHeight="1">
      <c r="E319" s="2"/>
      <c r="K319" s="2"/>
      <c r="L319" s="2"/>
      <c r="M319" s="2"/>
      <c r="N319" s="2"/>
      <c r="AD319" s="2"/>
      <c r="AE319" s="2"/>
      <c r="BA319" s="2"/>
      <c r="BD319" s="2"/>
      <c r="BF319" s="2"/>
      <c r="BH319" s="2"/>
      <c r="BI319" s="2"/>
      <c r="BJ319" s="2"/>
    </row>
    <row r="320" ht="14.25" customHeight="1">
      <c r="E320" s="2"/>
      <c r="K320" s="2"/>
      <c r="L320" s="2"/>
      <c r="M320" s="2"/>
      <c r="N320" s="2"/>
      <c r="AD320" s="2"/>
      <c r="AE320" s="2"/>
      <c r="BA320" s="2"/>
      <c r="BD320" s="2"/>
      <c r="BF320" s="2"/>
      <c r="BH320" s="2"/>
      <c r="BI320" s="2"/>
      <c r="BJ320" s="2"/>
    </row>
    <row r="321" ht="14.25" customHeight="1">
      <c r="E321" s="2"/>
      <c r="K321" s="2"/>
      <c r="L321" s="2"/>
      <c r="M321" s="2"/>
      <c r="N321" s="2"/>
      <c r="AD321" s="2"/>
      <c r="AE321" s="2"/>
      <c r="BA321" s="2"/>
      <c r="BD321" s="2"/>
      <c r="BF321" s="2"/>
      <c r="BH321" s="2"/>
      <c r="BI321" s="2"/>
      <c r="BJ321" s="2"/>
    </row>
    <row r="322" ht="14.25" customHeight="1">
      <c r="E322" s="2"/>
      <c r="K322" s="2"/>
      <c r="L322" s="2"/>
      <c r="M322" s="2"/>
      <c r="N322" s="2"/>
      <c r="AD322" s="2"/>
      <c r="AE322" s="2"/>
      <c r="BA322" s="2"/>
      <c r="BD322" s="2"/>
      <c r="BF322" s="2"/>
      <c r="BH322" s="2"/>
      <c r="BI322" s="2"/>
      <c r="BJ322" s="2"/>
    </row>
    <row r="323" ht="14.25" customHeight="1">
      <c r="E323" s="2"/>
      <c r="K323" s="2"/>
      <c r="L323" s="2"/>
      <c r="M323" s="2"/>
      <c r="N323" s="2"/>
      <c r="AD323" s="2"/>
      <c r="AE323" s="2"/>
      <c r="BA323" s="2"/>
      <c r="BD323" s="2"/>
      <c r="BF323" s="2"/>
      <c r="BH323" s="2"/>
      <c r="BI323" s="2"/>
      <c r="BJ323" s="2"/>
    </row>
    <row r="324" ht="14.25" customHeight="1">
      <c r="E324" s="2"/>
      <c r="K324" s="2"/>
      <c r="L324" s="2"/>
      <c r="M324" s="2"/>
      <c r="N324" s="2"/>
      <c r="AD324" s="2"/>
      <c r="AE324" s="2"/>
      <c r="BA324" s="2"/>
      <c r="BD324" s="2"/>
      <c r="BF324" s="2"/>
      <c r="BH324" s="2"/>
      <c r="BI324" s="2"/>
      <c r="BJ324" s="2"/>
    </row>
    <row r="325" ht="14.25" customHeight="1">
      <c r="E325" s="2"/>
      <c r="K325" s="2"/>
      <c r="L325" s="2"/>
      <c r="M325" s="2"/>
      <c r="N325" s="2"/>
      <c r="AD325" s="2"/>
      <c r="AE325" s="2"/>
      <c r="BA325" s="2"/>
      <c r="BD325" s="2"/>
      <c r="BF325" s="2"/>
      <c r="BH325" s="2"/>
      <c r="BI325" s="2"/>
      <c r="BJ325" s="2"/>
    </row>
    <row r="326" ht="14.25" customHeight="1">
      <c r="E326" s="2"/>
      <c r="K326" s="2"/>
      <c r="L326" s="2"/>
      <c r="M326" s="2"/>
      <c r="N326" s="2"/>
      <c r="AD326" s="2"/>
      <c r="AE326" s="2"/>
      <c r="BA326" s="2"/>
      <c r="BD326" s="2"/>
      <c r="BF326" s="2"/>
      <c r="BH326" s="2"/>
      <c r="BI326" s="2"/>
      <c r="BJ326" s="2"/>
    </row>
    <row r="327" ht="14.25" customHeight="1">
      <c r="E327" s="2"/>
      <c r="K327" s="2"/>
      <c r="L327" s="2"/>
      <c r="M327" s="2"/>
      <c r="N327" s="2"/>
      <c r="AD327" s="2"/>
      <c r="AE327" s="2"/>
      <c r="BA327" s="2"/>
      <c r="BD327" s="2"/>
      <c r="BF327" s="2"/>
      <c r="BH327" s="2"/>
      <c r="BI327" s="2"/>
      <c r="BJ327" s="2"/>
    </row>
    <row r="328" ht="14.25" customHeight="1">
      <c r="E328" s="2"/>
      <c r="K328" s="2"/>
      <c r="L328" s="2"/>
      <c r="M328" s="2"/>
      <c r="N328" s="2"/>
      <c r="AD328" s="2"/>
      <c r="AE328" s="2"/>
      <c r="BA328" s="2"/>
      <c r="BD328" s="2"/>
      <c r="BF328" s="2"/>
      <c r="BH328" s="2"/>
      <c r="BI328" s="2"/>
      <c r="BJ328" s="2"/>
    </row>
    <row r="329" ht="14.25" customHeight="1">
      <c r="E329" s="2"/>
      <c r="K329" s="2"/>
      <c r="L329" s="2"/>
      <c r="M329" s="2"/>
      <c r="N329" s="2"/>
      <c r="AD329" s="2"/>
      <c r="AE329" s="2"/>
      <c r="BA329" s="2"/>
      <c r="BD329" s="2"/>
      <c r="BF329" s="2"/>
      <c r="BH329" s="2"/>
      <c r="BI329" s="2"/>
      <c r="BJ329" s="2"/>
    </row>
    <row r="330" ht="14.25" customHeight="1">
      <c r="E330" s="2"/>
      <c r="K330" s="2"/>
      <c r="L330" s="2"/>
      <c r="M330" s="2"/>
      <c r="N330" s="2"/>
      <c r="AD330" s="2"/>
      <c r="AE330" s="2"/>
      <c r="BA330" s="2"/>
      <c r="BD330" s="2"/>
      <c r="BF330" s="2"/>
      <c r="BH330" s="2"/>
      <c r="BI330" s="2"/>
      <c r="BJ330" s="2"/>
    </row>
    <row r="331" ht="14.25" customHeight="1">
      <c r="E331" s="2"/>
      <c r="K331" s="2"/>
      <c r="L331" s="2"/>
      <c r="M331" s="2"/>
      <c r="N331" s="2"/>
      <c r="AD331" s="2"/>
      <c r="AE331" s="2"/>
      <c r="BA331" s="2"/>
      <c r="BD331" s="2"/>
      <c r="BF331" s="2"/>
      <c r="BH331" s="2"/>
      <c r="BI331" s="2"/>
      <c r="BJ331" s="2"/>
    </row>
    <row r="332" ht="14.25" customHeight="1">
      <c r="E332" s="2"/>
      <c r="K332" s="2"/>
      <c r="L332" s="2"/>
      <c r="M332" s="2"/>
      <c r="N332" s="2"/>
      <c r="AD332" s="2"/>
      <c r="AE332" s="2"/>
      <c r="BA332" s="2"/>
      <c r="BD332" s="2"/>
      <c r="BF332" s="2"/>
      <c r="BH332" s="2"/>
      <c r="BI332" s="2"/>
      <c r="BJ332" s="2"/>
    </row>
    <row r="333" ht="14.25" customHeight="1">
      <c r="E333" s="2"/>
      <c r="K333" s="2"/>
      <c r="L333" s="2"/>
      <c r="M333" s="2"/>
      <c r="N333" s="2"/>
      <c r="AD333" s="2"/>
      <c r="AE333" s="2"/>
      <c r="BA333" s="2"/>
      <c r="BD333" s="2"/>
      <c r="BF333" s="2"/>
      <c r="BH333" s="2"/>
      <c r="BI333" s="2"/>
      <c r="BJ333" s="2"/>
    </row>
    <row r="334" ht="14.25" customHeight="1">
      <c r="E334" s="2"/>
      <c r="K334" s="2"/>
      <c r="L334" s="2"/>
      <c r="M334" s="2"/>
      <c r="N334" s="2"/>
      <c r="AD334" s="2"/>
      <c r="AE334" s="2"/>
      <c r="BA334" s="2"/>
      <c r="BD334" s="2"/>
      <c r="BF334" s="2"/>
      <c r="BH334" s="2"/>
      <c r="BI334" s="2"/>
      <c r="BJ334" s="2"/>
    </row>
    <row r="335" ht="14.25" customHeight="1">
      <c r="E335" s="2"/>
      <c r="K335" s="2"/>
      <c r="L335" s="2"/>
      <c r="M335" s="2"/>
      <c r="N335" s="2"/>
      <c r="AD335" s="2"/>
      <c r="AE335" s="2"/>
      <c r="BA335" s="2"/>
      <c r="BD335" s="2"/>
      <c r="BF335" s="2"/>
      <c r="BH335" s="2"/>
      <c r="BI335" s="2"/>
      <c r="BJ335" s="2"/>
    </row>
    <row r="336" ht="14.25" customHeight="1">
      <c r="E336" s="2"/>
      <c r="K336" s="2"/>
      <c r="L336" s="2"/>
      <c r="M336" s="2"/>
      <c r="N336" s="2"/>
      <c r="AD336" s="2"/>
      <c r="AE336" s="2"/>
      <c r="BA336" s="2"/>
      <c r="BD336" s="2"/>
      <c r="BF336" s="2"/>
      <c r="BH336" s="2"/>
      <c r="BI336" s="2"/>
      <c r="BJ336" s="2"/>
    </row>
    <row r="337" ht="14.25" customHeight="1">
      <c r="E337" s="2"/>
      <c r="K337" s="2"/>
      <c r="L337" s="2"/>
      <c r="M337" s="2"/>
      <c r="N337" s="2"/>
      <c r="AD337" s="2"/>
      <c r="AE337" s="2"/>
      <c r="BA337" s="2"/>
      <c r="BD337" s="2"/>
      <c r="BF337" s="2"/>
      <c r="BH337" s="2"/>
      <c r="BI337" s="2"/>
      <c r="BJ337" s="2"/>
    </row>
    <row r="338" ht="14.25" customHeight="1">
      <c r="E338" s="2"/>
      <c r="K338" s="2"/>
      <c r="L338" s="2"/>
      <c r="M338" s="2"/>
      <c r="N338" s="2"/>
      <c r="AD338" s="2"/>
      <c r="AE338" s="2"/>
      <c r="BA338" s="2"/>
      <c r="BD338" s="2"/>
      <c r="BF338" s="2"/>
      <c r="BH338" s="2"/>
      <c r="BI338" s="2"/>
      <c r="BJ338" s="2"/>
    </row>
    <row r="339" ht="14.25" customHeight="1">
      <c r="E339" s="2"/>
      <c r="K339" s="2"/>
      <c r="L339" s="2"/>
      <c r="M339" s="2"/>
      <c r="N339" s="2"/>
      <c r="AD339" s="2"/>
      <c r="AE339" s="2"/>
      <c r="BA339" s="2"/>
      <c r="BD339" s="2"/>
      <c r="BF339" s="2"/>
      <c r="BH339" s="2"/>
      <c r="BI339" s="2"/>
      <c r="BJ339" s="2"/>
    </row>
    <row r="340" ht="14.25" customHeight="1">
      <c r="E340" s="2"/>
      <c r="K340" s="2"/>
      <c r="L340" s="2"/>
      <c r="M340" s="2"/>
      <c r="N340" s="2"/>
      <c r="AD340" s="2"/>
      <c r="AE340" s="2"/>
      <c r="BA340" s="2"/>
      <c r="BD340" s="2"/>
      <c r="BF340" s="2"/>
      <c r="BH340" s="2"/>
      <c r="BI340" s="2"/>
      <c r="BJ340" s="2"/>
    </row>
    <row r="341" ht="14.25" customHeight="1">
      <c r="E341" s="2"/>
      <c r="K341" s="2"/>
      <c r="L341" s="2"/>
      <c r="M341" s="2"/>
      <c r="N341" s="2"/>
      <c r="AD341" s="2"/>
      <c r="AE341" s="2"/>
      <c r="BA341" s="2"/>
      <c r="BD341" s="2"/>
      <c r="BF341" s="2"/>
      <c r="BH341" s="2"/>
      <c r="BI341" s="2"/>
      <c r="BJ341" s="2"/>
    </row>
    <row r="342" ht="14.25" customHeight="1">
      <c r="E342" s="2"/>
      <c r="K342" s="2"/>
      <c r="L342" s="2"/>
      <c r="M342" s="2"/>
      <c r="N342" s="2"/>
      <c r="AD342" s="2"/>
      <c r="AE342" s="2"/>
      <c r="BA342" s="2"/>
      <c r="BD342" s="2"/>
      <c r="BF342" s="2"/>
      <c r="BH342" s="2"/>
      <c r="BI342" s="2"/>
      <c r="BJ342" s="2"/>
    </row>
    <row r="343" ht="14.25" customHeight="1">
      <c r="E343" s="2"/>
      <c r="K343" s="2"/>
      <c r="L343" s="2"/>
      <c r="M343" s="2"/>
      <c r="N343" s="2"/>
      <c r="AD343" s="2"/>
      <c r="AE343" s="2"/>
      <c r="BA343" s="2"/>
      <c r="BD343" s="2"/>
      <c r="BF343" s="2"/>
      <c r="BH343" s="2"/>
      <c r="BI343" s="2"/>
      <c r="BJ343" s="2"/>
    </row>
    <row r="344" ht="14.25" customHeight="1">
      <c r="E344" s="2"/>
      <c r="K344" s="2"/>
      <c r="L344" s="2"/>
      <c r="M344" s="2"/>
      <c r="N344" s="2"/>
      <c r="AD344" s="2"/>
      <c r="AE344" s="2"/>
      <c r="BA344" s="2"/>
      <c r="BD344" s="2"/>
      <c r="BF344" s="2"/>
      <c r="BH344" s="2"/>
      <c r="BI344" s="2"/>
      <c r="BJ344" s="2"/>
    </row>
    <row r="345" ht="14.25" customHeight="1">
      <c r="E345" s="2"/>
      <c r="K345" s="2"/>
      <c r="L345" s="2"/>
      <c r="M345" s="2"/>
      <c r="N345" s="2"/>
      <c r="AD345" s="2"/>
      <c r="AE345" s="2"/>
      <c r="BA345" s="2"/>
      <c r="BD345" s="2"/>
      <c r="BF345" s="2"/>
      <c r="BH345" s="2"/>
      <c r="BI345" s="2"/>
      <c r="BJ345" s="2"/>
    </row>
    <row r="346" ht="14.25" customHeight="1">
      <c r="E346" s="2"/>
      <c r="K346" s="2"/>
      <c r="L346" s="2"/>
      <c r="M346" s="2"/>
      <c r="N346" s="2"/>
      <c r="AD346" s="2"/>
      <c r="AE346" s="2"/>
      <c r="BA346" s="2"/>
      <c r="BD346" s="2"/>
      <c r="BF346" s="2"/>
      <c r="BH346" s="2"/>
      <c r="BI346" s="2"/>
      <c r="BJ346" s="2"/>
    </row>
    <row r="347" ht="14.25" customHeight="1">
      <c r="E347" s="2"/>
      <c r="K347" s="2"/>
      <c r="L347" s="2"/>
      <c r="M347" s="2"/>
      <c r="N347" s="2"/>
      <c r="AD347" s="2"/>
      <c r="AE347" s="2"/>
      <c r="BA347" s="2"/>
      <c r="BD347" s="2"/>
      <c r="BF347" s="2"/>
      <c r="BH347" s="2"/>
      <c r="BI347" s="2"/>
      <c r="BJ347" s="2"/>
    </row>
    <row r="348" ht="14.25" customHeight="1">
      <c r="E348" s="2"/>
      <c r="K348" s="2"/>
      <c r="L348" s="2"/>
      <c r="M348" s="2"/>
      <c r="N348" s="2"/>
      <c r="AD348" s="2"/>
      <c r="AE348" s="2"/>
      <c r="BA348" s="2"/>
      <c r="BD348" s="2"/>
      <c r="BF348" s="2"/>
      <c r="BH348" s="2"/>
      <c r="BI348" s="2"/>
      <c r="BJ348" s="2"/>
    </row>
    <row r="349" ht="14.25" customHeight="1">
      <c r="E349" s="2"/>
      <c r="K349" s="2"/>
      <c r="L349" s="2"/>
      <c r="M349" s="2"/>
      <c r="N349" s="2"/>
      <c r="AD349" s="2"/>
      <c r="AE349" s="2"/>
      <c r="BA349" s="2"/>
      <c r="BD349" s="2"/>
      <c r="BF349" s="2"/>
      <c r="BH349" s="2"/>
      <c r="BI349" s="2"/>
      <c r="BJ349" s="2"/>
    </row>
    <row r="350" ht="14.25" customHeight="1">
      <c r="E350" s="2"/>
      <c r="K350" s="2"/>
      <c r="L350" s="2"/>
      <c r="M350" s="2"/>
      <c r="N350" s="2"/>
      <c r="AD350" s="2"/>
      <c r="AE350" s="2"/>
      <c r="BA350" s="2"/>
      <c r="BD350" s="2"/>
      <c r="BF350" s="2"/>
      <c r="BH350" s="2"/>
      <c r="BI350" s="2"/>
      <c r="BJ350" s="2"/>
    </row>
    <row r="351" ht="14.25" customHeight="1">
      <c r="E351" s="2"/>
      <c r="K351" s="2"/>
      <c r="L351" s="2"/>
      <c r="M351" s="2"/>
      <c r="N351" s="2"/>
      <c r="AD351" s="2"/>
      <c r="AE351" s="2"/>
      <c r="BA351" s="2"/>
      <c r="BD351" s="2"/>
      <c r="BF351" s="2"/>
      <c r="BH351" s="2"/>
      <c r="BI351" s="2"/>
      <c r="BJ351" s="2"/>
    </row>
    <row r="352" ht="14.25" customHeight="1">
      <c r="E352" s="2"/>
      <c r="K352" s="2"/>
      <c r="L352" s="2"/>
      <c r="M352" s="2"/>
      <c r="N352" s="2"/>
      <c r="AD352" s="2"/>
      <c r="AE352" s="2"/>
      <c r="BA352" s="2"/>
      <c r="BD352" s="2"/>
      <c r="BF352" s="2"/>
      <c r="BH352" s="2"/>
      <c r="BI352" s="2"/>
      <c r="BJ352" s="2"/>
    </row>
    <row r="353" ht="14.25" customHeight="1">
      <c r="E353" s="2"/>
      <c r="K353" s="2"/>
      <c r="L353" s="2"/>
      <c r="M353" s="2"/>
      <c r="N353" s="2"/>
      <c r="AD353" s="2"/>
      <c r="AE353" s="2"/>
      <c r="BA353" s="2"/>
      <c r="BD353" s="2"/>
      <c r="BF353" s="2"/>
      <c r="BH353" s="2"/>
      <c r="BI353" s="2"/>
      <c r="BJ353" s="2"/>
    </row>
    <row r="354" ht="14.25" customHeight="1">
      <c r="E354" s="2"/>
      <c r="K354" s="2"/>
      <c r="L354" s="2"/>
      <c r="M354" s="2"/>
      <c r="N354" s="2"/>
      <c r="AD354" s="2"/>
      <c r="AE354" s="2"/>
      <c r="BA354" s="2"/>
      <c r="BD354" s="2"/>
      <c r="BF354" s="2"/>
      <c r="BH354" s="2"/>
      <c r="BI354" s="2"/>
      <c r="BJ354" s="2"/>
    </row>
    <row r="355" ht="14.25" customHeight="1">
      <c r="E355" s="2"/>
      <c r="K355" s="2"/>
      <c r="L355" s="2"/>
      <c r="M355" s="2"/>
      <c r="N355" s="2"/>
      <c r="AD355" s="2"/>
      <c r="AE355" s="2"/>
      <c r="BA355" s="2"/>
      <c r="BD355" s="2"/>
      <c r="BF355" s="2"/>
      <c r="BH355" s="2"/>
      <c r="BI355" s="2"/>
      <c r="BJ355" s="2"/>
    </row>
    <row r="356" ht="14.25" customHeight="1">
      <c r="E356" s="2"/>
      <c r="K356" s="2"/>
      <c r="L356" s="2"/>
      <c r="M356" s="2"/>
      <c r="N356" s="2"/>
      <c r="AD356" s="2"/>
      <c r="AE356" s="2"/>
      <c r="BA356" s="2"/>
      <c r="BD356" s="2"/>
      <c r="BF356" s="2"/>
      <c r="BH356" s="2"/>
      <c r="BI356" s="2"/>
      <c r="BJ356" s="2"/>
    </row>
    <row r="357" ht="14.25" customHeight="1">
      <c r="E357" s="2"/>
      <c r="K357" s="2"/>
      <c r="L357" s="2"/>
      <c r="M357" s="2"/>
      <c r="N357" s="2"/>
      <c r="AD357" s="2"/>
      <c r="AE357" s="2"/>
      <c r="BA357" s="2"/>
      <c r="BD357" s="2"/>
      <c r="BF357" s="2"/>
      <c r="BH357" s="2"/>
      <c r="BI357" s="2"/>
      <c r="BJ357" s="2"/>
    </row>
    <row r="358" ht="14.25" customHeight="1">
      <c r="E358" s="2"/>
      <c r="K358" s="2"/>
      <c r="L358" s="2"/>
      <c r="M358" s="2"/>
      <c r="N358" s="2"/>
      <c r="AD358" s="2"/>
      <c r="AE358" s="2"/>
      <c r="BA358" s="2"/>
      <c r="BD358" s="2"/>
      <c r="BF358" s="2"/>
      <c r="BH358" s="2"/>
      <c r="BI358" s="2"/>
      <c r="BJ358" s="2"/>
    </row>
    <row r="359" ht="14.25" customHeight="1">
      <c r="E359" s="2"/>
      <c r="K359" s="2"/>
      <c r="L359" s="2"/>
      <c r="M359" s="2"/>
      <c r="N359" s="2"/>
      <c r="AD359" s="2"/>
      <c r="AE359" s="2"/>
      <c r="BA359" s="2"/>
      <c r="BD359" s="2"/>
      <c r="BF359" s="2"/>
      <c r="BH359" s="2"/>
      <c r="BI359" s="2"/>
      <c r="BJ359" s="2"/>
    </row>
    <row r="360" ht="14.25" customHeight="1">
      <c r="E360" s="2"/>
      <c r="K360" s="2"/>
      <c r="L360" s="2"/>
      <c r="M360" s="2"/>
      <c r="N360" s="2"/>
      <c r="AD360" s="2"/>
      <c r="AE360" s="2"/>
      <c r="BA360" s="2"/>
      <c r="BD360" s="2"/>
      <c r="BF360" s="2"/>
      <c r="BH360" s="2"/>
      <c r="BI360" s="2"/>
      <c r="BJ360" s="2"/>
    </row>
    <row r="361" ht="14.25" customHeight="1">
      <c r="E361" s="2"/>
      <c r="K361" s="2"/>
      <c r="L361" s="2"/>
      <c r="M361" s="2"/>
      <c r="N361" s="2"/>
      <c r="AD361" s="2"/>
      <c r="AE361" s="2"/>
      <c r="BA361" s="2"/>
      <c r="BD361" s="2"/>
      <c r="BF361" s="2"/>
      <c r="BH361" s="2"/>
      <c r="BI361" s="2"/>
      <c r="BJ361" s="2"/>
    </row>
    <row r="362" ht="14.25" customHeight="1">
      <c r="E362" s="2"/>
      <c r="K362" s="2"/>
      <c r="L362" s="2"/>
      <c r="M362" s="2"/>
      <c r="N362" s="2"/>
      <c r="AD362" s="2"/>
      <c r="AE362" s="2"/>
      <c r="BA362" s="2"/>
      <c r="BD362" s="2"/>
      <c r="BF362" s="2"/>
      <c r="BH362" s="2"/>
      <c r="BI362" s="2"/>
      <c r="BJ362" s="2"/>
    </row>
    <row r="363" ht="14.25" customHeight="1">
      <c r="E363" s="2"/>
      <c r="K363" s="2"/>
      <c r="L363" s="2"/>
      <c r="M363" s="2"/>
      <c r="N363" s="2"/>
      <c r="AD363" s="2"/>
      <c r="AE363" s="2"/>
      <c r="BA363" s="2"/>
      <c r="BD363" s="2"/>
      <c r="BF363" s="2"/>
      <c r="BH363" s="2"/>
      <c r="BI363" s="2"/>
      <c r="BJ363" s="2"/>
    </row>
    <row r="364" ht="14.25" customHeight="1">
      <c r="E364" s="2"/>
      <c r="K364" s="2"/>
      <c r="L364" s="2"/>
      <c r="M364" s="2"/>
      <c r="N364" s="2"/>
      <c r="AD364" s="2"/>
      <c r="AE364" s="2"/>
      <c r="BA364" s="2"/>
      <c r="BD364" s="2"/>
      <c r="BF364" s="2"/>
      <c r="BH364" s="2"/>
      <c r="BI364" s="2"/>
      <c r="BJ364" s="2"/>
    </row>
    <row r="365" ht="14.25" customHeight="1">
      <c r="E365" s="2"/>
      <c r="K365" s="2"/>
      <c r="L365" s="2"/>
      <c r="M365" s="2"/>
      <c r="N365" s="2"/>
      <c r="AD365" s="2"/>
      <c r="AE365" s="2"/>
      <c r="BA365" s="2"/>
      <c r="BD365" s="2"/>
      <c r="BF365" s="2"/>
      <c r="BH365" s="2"/>
      <c r="BI365" s="2"/>
      <c r="BJ365" s="2"/>
    </row>
    <row r="366" ht="14.25" customHeight="1">
      <c r="E366" s="2"/>
      <c r="K366" s="2"/>
      <c r="L366" s="2"/>
      <c r="M366" s="2"/>
      <c r="N366" s="2"/>
      <c r="AD366" s="2"/>
      <c r="AE366" s="2"/>
      <c r="BA366" s="2"/>
      <c r="BD366" s="2"/>
      <c r="BF366" s="2"/>
      <c r="BH366" s="2"/>
      <c r="BI366" s="2"/>
      <c r="BJ366" s="2"/>
    </row>
    <row r="367" ht="14.25" customHeight="1">
      <c r="E367" s="2"/>
      <c r="K367" s="2"/>
      <c r="L367" s="2"/>
      <c r="M367" s="2"/>
      <c r="N367" s="2"/>
      <c r="AD367" s="2"/>
      <c r="AE367" s="2"/>
      <c r="BA367" s="2"/>
      <c r="BD367" s="2"/>
      <c r="BF367" s="2"/>
      <c r="BH367" s="2"/>
      <c r="BI367" s="2"/>
      <c r="BJ367" s="2"/>
    </row>
    <row r="368" ht="14.25" customHeight="1">
      <c r="E368" s="2"/>
      <c r="K368" s="2"/>
      <c r="L368" s="2"/>
      <c r="M368" s="2"/>
      <c r="N368" s="2"/>
      <c r="AD368" s="2"/>
      <c r="AE368" s="2"/>
      <c r="BA368" s="2"/>
      <c r="BD368" s="2"/>
      <c r="BF368" s="2"/>
      <c r="BH368" s="2"/>
      <c r="BI368" s="2"/>
      <c r="BJ368" s="2"/>
    </row>
    <row r="369" ht="14.25" customHeight="1">
      <c r="E369" s="2"/>
      <c r="K369" s="2"/>
      <c r="L369" s="2"/>
      <c r="M369" s="2"/>
      <c r="N369" s="2"/>
      <c r="AD369" s="2"/>
      <c r="AE369" s="2"/>
      <c r="BA369" s="2"/>
      <c r="BD369" s="2"/>
      <c r="BF369" s="2"/>
      <c r="BH369" s="2"/>
      <c r="BI369" s="2"/>
      <c r="BJ369" s="2"/>
    </row>
    <row r="370" ht="14.25" customHeight="1">
      <c r="E370" s="2"/>
      <c r="K370" s="2"/>
      <c r="L370" s="2"/>
      <c r="M370" s="2"/>
      <c r="N370" s="2"/>
      <c r="AD370" s="2"/>
      <c r="AE370" s="2"/>
      <c r="BA370" s="2"/>
      <c r="BD370" s="2"/>
      <c r="BF370" s="2"/>
      <c r="BH370" s="2"/>
      <c r="BI370" s="2"/>
      <c r="BJ370" s="2"/>
    </row>
    <row r="371" ht="14.25" customHeight="1">
      <c r="E371" s="2"/>
      <c r="K371" s="2"/>
      <c r="L371" s="2"/>
      <c r="M371" s="2"/>
      <c r="N371" s="2"/>
      <c r="AD371" s="2"/>
      <c r="AE371" s="2"/>
      <c r="BA371" s="2"/>
      <c r="BD371" s="2"/>
      <c r="BF371" s="2"/>
      <c r="BH371" s="2"/>
      <c r="BI371" s="2"/>
      <c r="BJ371" s="2"/>
    </row>
    <row r="372" ht="14.25" customHeight="1">
      <c r="E372" s="2"/>
      <c r="K372" s="2"/>
      <c r="L372" s="2"/>
      <c r="M372" s="2"/>
      <c r="N372" s="2"/>
      <c r="AD372" s="2"/>
      <c r="AE372" s="2"/>
      <c r="BA372" s="2"/>
      <c r="BD372" s="2"/>
      <c r="BF372" s="2"/>
      <c r="BH372" s="2"/>
      <c r="BI372" s="2"/>
      <c r="BJ372" s="2"/>
    </row>
    <row r="373" ht="14.25" customHeight="1">
      <c r="E373" s="2"/>
      <c r="K373" s="2"/>
      <c r="L373" s="2"/>
      <c r="M373" s="2"/>
      <c r="N373" s="2"/>
      <c r="AD373" s="2"/>
      <c r="AE373" s="2"/>
      <c r="BA373" s="2"/>
      <c r="BD373" s="2"/>
      <c r="BF373" s="2"/>
      <c r="BH373" s="2"/>
      <c r="BI373" s="2"/>
      <c r="BJ373" s="2"/>
    </row>
    <row r="374" ht="14.25" customHeight="1">
      <c r="E374" s="2"/>
      <c r="K374" s="2"/>
      <c r="L374" s="2"/>
      <c r="M374" s="2"/>
      <c r="N374" s="2"/>
      <c r="AD374" s="2"/>
      <c r="AE374" s="2"/>
      <c r="BA374" s="2"/>
      <c r="BD374" s="2"/>
      <c r="BF374" s="2"/>
      <c r="BH374" s="2"/>
      <c r="BI374" s="2"/>
      <c r="BJ374" s="2"/>
    </row>
    <row r="375" ht="14.25" customHeight="1">
      <c r="E375" s="2"/>
      <c r="K375" s="2"/>
      <c r="L375" s="2"/>
      <c r="M375" s="2"/>
      <c r="N375" s="2"/>
      <c r="AD375" s="2"/>
      <c r="AE375" s="2"/>
      <c r="BA375" s="2"/>
      <c r="BD375" s="2"/>
      <c r="BF375" s="2"/>
      <c r="BH375" s="2"/>
      <c r="BI375" s="2"/>
      <c r="BJ375" s="2"/>
    </row>
    <row r="376" ht="14.25" customHeight="1">
      <c r="E376" s="2"/>
      <c r="K376" s="2"/>
      <c r="L376" s="2"/>
      <c r="M376" s="2"/>
      <c r="N376" s="2"/>
      <c r="AD376" s="2"/>
      <c r="AE376" s="2"/>
      <c r="BA376" s="2"/>
      <c r="BD376" s="2"/>
      <c r="BF376" s="2"/>
      <c r="BH376" s="2"/>
      <c r="BI376" s="2"/>
      <c r="BJ376" s="2"/>
    </row>
    <row r="377" ht="14.25" customHeight="1">
      <c r="E377" s="2"/>
      <c r="K377" s="2"/>
      <c r="L377" s="2"/>
      <c r="M377" s="2"/>
      <c r="N377" s="2"/>
      <c r="AD377" s="2"/>
      <c r="AE377" s="2"/>
      <c r="BA377" s="2"/>
      <c r="BD377" s="2"/>
      <c r="BF377" s="2"/>
      <c r="BH377" s="2"/>
      <c r="BI377" s="2"/>
      <c r="BJ377" s="2"/>
    </row>
    <row r="378" ht="14.25" customHeight="1">
      <c r="E378" s="2"/>
      <c r="K378" s="2"/>
      <c r="L378" s="2"/>
      <c r="M378" s="2"/>
      <c r="N378" s="2"/>
      <c r="AD378" s="2"/>
      <c r="AE378" s="2"/>
      <c r="BA378" s="2"/>
      <c r="BD378" s="2"/>
      <c r="BF378" s="2"/>
      <c r="BH378" s="2"/>
      <c r="BI378" s="2"/>
      <c r="BJ378" s="2"/>
    </row>
    <row r="379" ht="14.25" customHeight="1">
      <c r="E379" s="2"/>
      <c r="K379" s="2"/>
      <c r="L379" s="2"/>
      <c r="M379" s="2"/>
      <c r="N379" s="2"/>
      <c r="AD379" s="2"/>
      <c r="AE379" s="2"/>
      <c r="BA379" s="2"/>
      <c r="BD379" s="2"/>
      <c r="BF379" s="2"/>
      <c r="BH379" s="2"/>
      <c r="BI379" s="2"/>
      <c r="BJ379" s="2"/>
    </row>
    <row r="380" ht="14.25" customHeight="1">
      <c r="E380" s="2"/>
      <c r="K380" s="2"/>
      <c r="L380" s="2"/>
      <c r="M380" s="2"/>
      <c r="N380" s="2"/>
      <c r="AD380" s="2"/>
      <c r="AE380" s="2"/>
      <c r="BA380" s="2"/>
      <c r="BD380" s="2"/>
      <c r="BF380" s="2"/>
      <c r="BH380" s="2"/>
      <c r="BI380" s="2"/>
      <c r="BJ380" s="2"/>
    </row>
    <row r="381" ht="14.25" customHeight="1">
      <c r="E381" s="2"/>
      <c r="K381" s="2"/>
      <c r="L381" s="2"/>
      <c r="M381" s="2"/>
      <c r="N381" s="2"/>
      <c r="AD381" s="2"/>
      <c r="AE381" s="2"/>
      <c r="BA381" s="2"/>
      <c r="BD381" s="2"/>
      <c r="BF381" s="2"/>
      <c r="BH381" s="2"/>
      <c r="BI381" s="2"/>
      <c r="BJ381" s="2"/>
    </row>
    <row r="382" ht="14.25" customHeight="1">
      <c r="E382" s="2"/>
      <c r="K382" s="2"/>
      <c r="L382" s="2"/>
      <c r="M382" s="2"/>
      <c r="N382" s="2"/>
      <c r="AD382" s="2"/>
      <c r="AE382" s="2"/>
      <c r="BA382" s="2"/>
      <c r="BD382" s="2"/>
      <c r="BF382" s="2"/>
      <c r="BH382" s="2"/>
      <c r="BI382" s="2"/>
      <c r="BJ382" s="2"/>
    </row>
    <row r="383" ht="14.25" customHeight="1">
      <c r="E383" s="2"/>
      <c r="K383" s="2"/>
      <c r="L383" s="2"/>
      <c r="M383" s="2"/>
      <c r="N383" s="2"/>
      <c r="AD383" s="2"/>
      <c r="AE383" s="2"/>
      <c r="BA383" s="2"/>
      <c r="BD383" s="2"/>
      <c r="BF383" s="2"/>
      <c r="BH383" s="2"/>
      <c r="BI383" s="2"/>
      <c r="BJ383" s="2"/>
    </row>
    <row r="384" ht="14.25" customHeight="1">
      <c r="E384" s="2"/>
      <c r="K384" s="2"/>
      <c r="L384" s="2"/>
      <c r="M384" s="2"/>
      <c r="N384" s="2"/>
      <c r="AD384" s="2"/>
      <c r="AE384" s="2"/>
      <c r="BA384" s="2"/>
      <c r="BD384" s="2"/>
      <c r="BF384" s="2"/>
      <c r="BH384" s="2"/>
      <c r="BI384" s="2"/>
      <c r="BJ384" s="2"/>
    </row>
    <row r="385" ht="14.25" customHeight="1">
      <c r="E385" s="2"/>
      <c r="K385" s="2"/>
      <c r="L385" s="2"/>
      <c r="M385" s="2"/>
      <c r="N385" s="2"/>
      <c r="AD385" s="2"/>
      <c r="AE385" s="2"/>
      <c r="BA385" s="2"/>
      <c r="BD385" s="2"/>
      <c r="BF385" s="2"/>
      <c r="BH385" s="2"/>
      <c r="BI385" s="2"/>
      <c r="BJ385" s="2"/>
    </row>
    <row r="386" ht="14.25" customHeight="1">
      <c r="E386" s="2"/>
      <c r="K386" s="2"/>
      <c r="L386" s="2"/>
      <c r="M386" s="2"/>
      <c r="N386" s="2"/>
      <c r="AD386" s="2"/>
      <c r="AE386" s="2"/>
      <c r="BA386" s="2"/>
      <c r="BD386" s="2"/>
      <c r="BF386" s="2"/>
      <c r="BH386" s="2"/>
      <c r="BI386" s="2"/>
      <c r="BJ386" s="2"/>
    </row>
    <row r="387" ht="14.25" customHeight="1">
      <c r="E387" s="2"/>
      <c r="K387" s="2"/>
      <c r="L387" s="2"/>
      <c r="M387" s="2"/>
      <c r="N387" s="2"/>
      <c r="AD387" s="2"/>
      <c r="AE387" s="2"/>
      <c r="BA387" s="2"/>
      <c r="BD387" s="2"/>
      <c r="BF387" s="2"/>
      <c r="BH387" s="2"/>
      <c r="BI387" s="2"/>
      <c r="BJ387" s="2"/>
    </row>
    <row r="388" ht="14.25" customHeight="1">
      <c r="E388" s="2"/>
      <c r="K388" s="2"/>
      <c r="L388" s="2"/>
      <c r="M388" s="2"/>
      <c r="N388" s="2"/>
      <c r="AD388" s="2"/>
      <c r="AE388" s="2"/>
      <c r="BA388" s="2"/>
      <c r="BD388" s="2"/>
      <c r="BF388" s="2"/>
      <c r="BH388" s="2"/>
      <c r="BI388" s="2"/>
      <c r="BJ388" s="2"/>
    </row>
    <row r="389" ht="14.25" customHeight="1">
      <c r="E389" s="2"/>
      <c r="K389" s="2"/>
      <c r="L389" s="2"/>
      <c r="M389" s="2"/>
      <c r="N389" s="2"/>
      <c r="AD389" s="2"/>
      <c r="AE389" s="2"/>
      <c r="BA389" s="2"/>
      <c r="BD389" s="2"/>
      <c r="BF389" s="2"/>
      <c r="BH389" s="2"/>
      <c r="BI389" s="2"/>
      <c r="BJ389" s="2"/>
    </row>
    <row r="390" ht="14.25" customHeight="1">
      <c r="E390" s="2"/>
      <c r="K390" s="2"/>
      <c r="L390" s="2"/>
      <c r="M390" s="2"/>
      <c r="N390" s="2"/>
      <c r="AD390" s="2"/>
      <c r="AE390" s="2"/>
      <c r="BA390" s="2"/>
      <c r="BD390" s="2"/>
      <c r="BF390" s="2"/>
      <c r="BH390" s="2"/>
      <c r="BI390" s="2"/>
      <c r="BJ390" s="2"/>
    </row>
    <row r="391" ht="14.25" customHeight="1">
      <c r="E391" s="2"/>
      <c r="K391" s="2"/>
      <c r="L391" s="2"/>
      <c r="M391" s="2"/>
      <c r="N391" s="2"/>
      <c r="AD391" s="2"/>
      <c r="AE391" s="2"/>
      <c r="BA391" s="2"/>
      <c r="BD391" s="2"/>
      <c r="BF391" s="2"/>
      <c r="BH391" s="2"/>
      <c r="BI391" s="2"/>
      <c r="BJ391" s="2"/>
    </row>
    <row r="392" ht="14.25" customHeight="1">
      <c r="E392" s="2"/>
      <c r="K392" s="2"/>
      <c r="L392" s="2"/>
      <c r="M392" s="2"/>
      <c r="N392" s="2"/>
      <c r="AD392" s="2"/>
      <c r="AE392" s="2"/>
      <c r="BA392" s="2"/>
      <c r="BD392" s="2"/>
      <c r="BF392" s="2"/>
      <c r="BH392" s="2"/>
      <c r="BI392" s="2"/>
      <c r="BJ392" s="2"/>
    </row>
    <row r="393" ht="14.25" customHeight="1">
      <c r="E393" s="2"/>
      <c r="K393" s="2"/>
      <c r="L393" s="2"/>
      <c r="M393" s="2"/>
      <c r="N393" s="2"/>
      <c r="AD393" s="2"/>
      <c r="AE393" s="2"/>
      <c r="BA393" s="2"/>
      <c r="BD393" s="2"/>
      <c r="BF393" s="2"/>
      <c r="BH393" s="2"/>
      <c r="BI393" s="2"/>
      <c r="BJ393" s="2"/>
    </row>
    <row r="394" ht="14.25" customHeight="1">
      <c r="E394" s="2"/>
      <c r="K394" s="2"/>
      <c r="L394" s="2"/>
      <c r="M394" s="2"/>
      <c r="N394" s="2"/>
      <c r="AD394" s="2"/>
      <c r="AE394" s="2"/>
      <c r="BA394" s="2"/>
      <c r="BD394" s="2"/>
      <c r="BF394" s="2"/>
      <c r="BH394" s="2"/>
      <c r="BI394" s="2"/>
      <c r="BJ394" s="2"/>
    </row>
    <row r="395" ht="14.25" customHeight="1">
      <c r="E395" s="2"/>
      <c r="K395" s="2"/>
      <c r="L395" s="2"/>
      <c r="M395" s="2"/>
      <c r="N395" s="2"/>
      <c r="AD395" s="2"/>
      <c r="AE395" s="2"/>
      <c r="BA395" s="2"/>
      <c r="BD395" s="2"/>
      <c r="BF395" s="2"/>
      <c r="BH395" s="2"/>
      <c r="BI395" s="2"/>
      <c r="BJ395" s="2"/>
    </row>
    <row r="396" ht="14.25" customHeight="1">
      <c r="E396" s="2"/>
      <c r="K396" s="2"/>
      <c r="L396" s="2"/>
      <c r="M396" s="2"/>
      <c r="N396" s="2"/>
      <c r="AD396" s="2"/>
      <c r="AE396" s="2"/>
      <c r="BA396" s="2"/>
      <c r="BD396" s="2"/>
      <c r="BF396" s="2"/>
      <c r="BH396" s="2"/>
      <c r="BI396" s="2"/>
      <c r="BJ396" s="2"/>
    </row>
    <row r="397" ht="14.25" customHeight="1">
      <c r="E397" s="2"/>
      <c r="K397" s="2"/>
      <c r="L397" s="2"/>
      <c r="M397" s="2"/>
      <c r="N397" s="2"/>
      <c r="AD397" s="2"/>
      <c r="AE397" s="2"/>
      <c r="BA397" s="2"/>
      <c r="BD397" s="2"/>
      <c r="BF397" s="2"/>
      <c r="BH397" s="2"/>
      <c r="BI397" s="2"/>
      <c r="BJ397" s="2"/>
    </row>
    <row r="398" ht="14.25" customHeight="1">
      <c r="E398" s="2"/>
      <c r="K398" s="2"/>
      <c r="L398" s="2"/>
      <c r="M398" s="2"/>
      <c r="N398" s="2"/>
      <c r="AD398" s="2"/>
      <c r="AE398" s="2"/>
      <c r="BA398" s="2"/>
      <c r="BD398" s="2"/>
      <c r="BF398" s="2"/>
      <c r="BH398" s="2"/>
      <c r="BI398" s="2"/>
      <c r="BJ398" s="2"/>
    </row>
    <row r="399" ht="14.25" customHeight="1">
      <c r="E399" s="2"/>
      <c r="K399" s="2"/>
      <c r="L399" s="2"/>
      <c r="M399" s="2"/>
      <c r="N399" s="2"/>
      <c r="AD399" s="2"/>
      <c r="AE399" s="2"/>
      <c r="BA399" s="2"/>
      <c r="BD399" s="2"/>
      <c r="BF399" s="2"/>
      <c r="BH399" s="2"/>
      <c r="BI399" s="2"/>
      <c r="BJ399" s="2"/>
    </row>
    <row r="400" ht="14.25" customHeight="1">
      <c r="E400" s="2"/>
      <c r="K400" s="2"/>
      <c r="L400" s="2"/>
      <c r="M400" s="2"/>
      <c r="N400" s="2"/>
      <c r="AD400" s="2"/>
      <c r="AE400" s="2"/>
      <c r="BA400" s="2"/>
      <c r="BD400" s="2"/>
      <c r="BF400" s="2"/>
      <c r="BH400" s="2"/>
      <c r="BI400" s="2"/>
      <c r="BJ400" s="2"/>
    </row>
    <row r="401" ht="14.25" customHeight="1">
      <c r="E401" s="2"/>
      <c r="K401" s="2"/>
      <c r="L401" s="2"/>
      <c r="M401" s="2"/>
      <c r="N401" s="2"/>
      <c r="AD401" s="2"/>
      <c r="AE401" s="2"/>
      <c r="BA401" s="2"/>
      <c r="BD401" s="2"/>
      <c r="BF401" s="2"/>
      <c r="BH401" s="2"/>
      <c r="BI401" s="2"/>
      <c r="BJ401" s="2"/>
    </row>
    <row r="402" ht="14.25" customHeight="1">
      <c r="E402" s="2"/>
      <c r="K402" s="2"/>
      <c r="L402" s="2"/>
      <c r="M402" s="2"/>
      <c r="N402" s="2"/>
      <c r="AD402" s="2"/>
      <c r="AE402" s="2"/>
      <c r="BA402" s="2"/>
      <c r="BD402" s="2"/>
      <c r="BF402" s="2"/>
      <c r="BH402" s="2"/>
      <c r="BI402" s="2"/>
      <c r="BJ402" s="2"/>
    </row>
    <row r="403" ht="14.25" customHeight="1">
      <c r="E403" s="2"/>
      <c r="K403" s="2"/>
      <c r="L403" s="2"/>
      <c r="M403" s="2"/>
      <c r="N403" s="2"/>
      <c r="AD403" s="2"/>
      <c r="AE403" s="2"/>
      <c r="BA403" s="2"/>
      <c r="BD403" s="2"/>
      <c r="BF403" s="2"/>
      <c r="BH403" s="2"/>
      <c r="BI403" s="2"/>
      <c r="BJ403" s="2"/>
    </row>
    <row r="404" ht="14.25" customHeight="1">
      <c r="E404" s="2"/>
      <c r="K404" s="2"/>
      <c r="L404" s="2"/>
      <c r="M404" s="2"/>
      <c r="N404" s="2"/>
      <c r="AD404" s="2"/>
      <c r="AE404" s="2"/>
      <c r="BA404" s="2"/>
      <c r="BD404" s="2"/>
      <c r="BF404" s="2"/>
      <c r="BH404" s="2"/>
      <c r="BI404" s="2"/>
      <c r="BJ404" s="2"/>
    </row>
    <row r="405" ht="14.25" customHeight="1">
      <c r="E405" s="2"/>
      <c r="K405" s="2"/>
      <c r="L405" s="2"/>
      <c r="M405" s="2"/>
      <c r="N405" s="2"/>
      <c r="AD405" s="2"/>
      <c r="AE405" s="2"/>
      <c r="BA405" s="2"/>
      <c r="BD405" s="2"/>
      <c r="BF405" s="2"/>
      <c r="BH405" s="2"/>
      <c r="BI405" s="2"/>
      <c r="BJ405" s="2"/>
    </row>
    <row r="406" ht="14.25" customHeight="1">
      <c r="E406" s="2"/>
      <c r="K406" s="2"/>
      <c r="L406" s="2"/>
      <c r="M406" s="2"/>
      <c r="N406" s="2"/>
      <c r="AD406" s="2"/>
      <c r="AE406" s="2"/>
      <c r="BA406" s="2"/>
      <c r="BD406" s="2"/>
      <c r="BF406" s="2"/>
      <c r="BH406" s="2"/>
      <c r="BI406" s="2"/>
      <c r="BJ406" s="2"/>
    </row>
    <row r="407" ht="14.25" customHeight="1">
      <c r="E407" s="2"/>
      <c r="K407" s="2"/>
      <c r="L407" s="2"/>
      <c r="M407" s="2"/>
      <c r="N407" s="2"/>
      <c r="AD407" s="2"/>
      <c r="AE407" s="2"/>
      <c r="BA407" s="2"/>
      <c r="BD407" s="2"/>
      <c r="BF407" s="2"/>
      <c r="BH407" s="2"/>
      <c r="BI407" s="2"/>
      <c r="BJ407" s="2"/>
    </row>
    <row r="408" ht="14.25" customHeight="1">
      <c r="E408" s="2"/>
      <c r="K408" s="2"/>
      <c r="L408" s="2"/>
      <c r="M408" s="2"/>
      <c r="N408" s="2"/>
      <c r="AD408" s="2"/>
      <c r="AE408" s="2"/>
      <c r="BA408" s="2"/>
      <c r="BD408" s="2"/>
      <c r="BF408" s="2"/>
      <c r="BH408" s="2"/>
      <c r="BI408" s="2"/>
      <c r="BJ408" s="2"/>
    </row>
    <row r="409" ht="14.25" customHeight="1">
      <c r="E409" s="2"/>
      <c r="K409" s="2"/>
      <c r="L409" s="2"/>
      <c r="M409" s="2"/>
      <c r="N409" s="2"/>
      <c r="AD409" s="2"/>
      <c r="AE409" s="2"/>
      <c r="BA409" s="2"/>
      <c r="BD409" s="2"/>
      <c r="BF409" s="2"/>
      <c r="BH409" s="2"/>
      <c r="BI409" s="2"/>
      <c r="BJ409" s="2"/>
    </row>
    <row r="410" ht="14.25" customHeight="1">
      <c r="E410" s="2"/>
      <c r="K410" s="2"/>
      <c r="L410" s="2"/>
      <c r="M410" s="2"/>
      <c r="N410" s="2"/>
      <c r="AD410" s="2"/>
      <c r="AE410" s="2"/>
      <c r="BA410" s="2"/>
      <c r="BD410" s="2"/>
      <c r="BF410" s="2"/>
      <c r="BH410" s="2"/>
      <c r="BI410" s="2"/>
      <c r="BJ410" s="2"/>
    </row>
    <row r="411" ht="14.25" customHeight="1">
      <c r="E411" s="2"/>
      <c r="K411" s="2"/>
      <c r="L411" s="2"/>
      <c r="M411" s="2"/>
      <c r="N411" s="2"/>
      <c r="AD411" s="2"/>
      <c r="AE411" s="2"/>
      <c r="BA411" s="2"/>
      <c r="BD411" s="2"/>
      <c r="BF411" s="2"/>
      <c r="BH411" s="2"/>
      <c r="BI411" s="2"/>
      <c r="BJ411" s="2"/>
    </row>
    <row r="412" ht="14.25" customHeight="1">
      <c r="E412" s="2"/>
      <c r="K412" s="2"/>
      <c r="L412" s="2"/>
      <c r="M412" s="2"/>
      <c r="N412" s="2"/>
      <c r="AD412" s="2"/>
      <c r="AE412" s="2"/>
      <c r="BA412" s="2"/>
      <c r="BD412" s="2"/>
      <c r="BF412" s="2"/>
      <c r="BH412" s="2"/>
      <c r="BI412" s="2"/>
      <c r="BJ412" s="2"/>
    </row>
    <row r="413" ht="14.25" customHeight="1">
      <c r="E413" s="2"/>
      <c r="K413" s="2"/>
      <c r="L413" s="2"/>
      <c r="M413" s="2"/>
      <c r="N413" s="2"/>
      <c r="AD413" s="2"/>
      <c r="AE413" s="2"/>
      <c r="BA413" s="2"/>
      <c r="BD413" s="2"/>
      <c r="BF413" s="2"/>
      <c r="BH413" s="2"/>
      <c r="BI413" s="2"/>
      <c r="BJ413" s="2"/>
    </row>
    <row r="414" ht="14.25" customHeight="1">
      <c r="E414" s="2"/>
      <c r="K414" s="2"/>
      <c r="L414" s="2"/>
      <c r="M414" s="2"/>
      <c r="N414" s="2"/>
      <c r="AD414" s="2"/>
      <c r="AE414" s="2"/>
      <c r="BA414" s="2"/>
      <c r="BD414" s="2"/>
      <c r="BF414" s="2"/>
      <c r="BH414" s="2"/>
      <c r="BI414" s="2"/>
      <c r="BJ414" s="2"/>
    </row>
    <row r="415" ht="14.25" customHeight="1">
      <c r="E415" s="2"/>
      <c r="K415" s="2"/>
      <c r="L415" s="2"/>
      <c r="M415" s="2"/>
      <c r="N415" s="2"/>
      <c r="AD415" s="2"/>
      <c r="AE415" s="2"/>
      <c r="BA415" s="2"/>
      <c r="BD415" s="2"/>
      <c r="BF415" s="2"/>
      <c r="BH415" s="2"/>
      <c r="BI415" s="2"/>
      <c r="BJ415" s="2"/>
    </row>
    <row r="416" ht="14.25" customHeight="1">
      <c r="E416" s="2"/>
      <c r="K416" s="2"/>
      <c r="L416" s="2"/>
      <c r="M416" s="2"/>
      <c r="N416" s="2"/>
      <c r="AD416" s="2"/>
      <c r="AE416" s="2"/>
      <c r="BA416" s="2"/>
      <c r="BD416" s="2"/>
      <c r="BF416" s="2"/>
      <c r="BH416" s="2"/>
      <c r="BI416" s="2"/>
      <c r="BJ416" s="2"/>
    </row>
    <row r="417" ht="14.25" customHeight="1">
      <c r="E417" s="2"/>
      <c r="K417" s="2"/>
      <c r="L417" s="2"/>
      <c r="M417" s="2"/>
      <c r="N417" s="2"/>
      <c r="AD417" s="2"/>
      <c r="AE417" s="2"/>
      <c r="BA417" s="2"/>
      <c r="BD417" s="2"/>
      <c r="BF417" s="2"/>
      <c r="BH417" s="2"/>
      <c r="BI417" s="2"/>
      <c r="BJ417" s="2"/>
    </row>
    <row r="418" ht="14.25" customHeight="1">
      <c r="E418" s="2"/>
      <c r="K418" s="2"/>
      <c r="L418" s="2"/>
      <c r="M418" s="2"/>
      <c r="N418" s="2"/>
      <c r="AD418" s="2"/>
      <c r="AE418" s="2"/>
      <c r="BA418" s="2"/>
      <c r="BD418" s="2"/>
      <c r="BF418" s="2"/>
      <c r="BH418" s="2"/>
      <c r="BI418" s="2"/>
      <c r="BJ418" s="2"/>
    </row>
    <row r="419" ht="14.25" customHeight="1">
      <c r="E419" s="2"/>
      <c r="K419" s="2"/>
      <c r="L419" s="2"/>
      <c r="M419" s="2"/>
      <c r="N419" s="2"/>
      <c r="AD419" s="2"/>
      <c r="AE419" s="2"/>
      <c r="BA419" s="2"/>
      <c r="BD419" s="2"/>
      <c r="BF419" s="2"/>
      <c r="BH419" s="2"/>
      <c r="BI419" s="2"/>
      <c r="BJ419" s="2"/>
    </row>
    <row r="420" ht="14.25" customHeight="1">
      <c r="E420" s="2"/>
      <c r="K420" s="2"/>
      <c r="L420" s="2"/>
      <c r="M420" s="2"/>
      <c r="N420" s="2"/>
      <c r="AD420" s="2"/>
      <c r="AE420" s="2"/>
      <c r="BA420" s="2"/>
      <c r="BD420" s="2"/>
      <c r="BF420" s="2"/>
      <c r="BH420" s="2"/>
      <c r="BI420" s="2"/>
      <c r="BJ420" s="2"/>
    </row>
    <row r="421" ht="14.25" customHeight="1">
      <c r="E421" s="2"/>
      <c r="K421" s="2"/>
      <c r="L421" s="2"/>
      <c r="M421" s="2"/>
      <c r="N421" s="2"/>
      <c r="AD421" s="2"/>
      <c r="AE421" s="2"/>
      <c r="BA421" s="2"/>
      <c r="BD421" s="2"/>
      <c r="BF421" s="2"/>
      <c r="BH421" s="2"/>
      <c r="BI421" s="2"/>
      <c r="BJ421" s="2"/>
    </row>
    <row r="422" ht="14.25" customHeight="1">
      <c r="E422" s="2"/>
      <c r="K422" s="2"/>
      <c r="L422" s="2"/>
      <c r="M422" s="2"/>
      <c r="N422" s="2"/>
      <c r="AD422" s="2"/>
      <c r="AE422" s="2"/>
      <c r="BA422" s="2"/>
      <c r="BD422" s="2"/>
      <c r="BF422" s="2"/>
      <c r="BH422" s="2"/>
      <c r="BI422" s="2"/>
      <c r="BJ422" s="2"/>
    </row>
    <row r="423" ht="14.25" customHeight="1">
      <c r="E423" s="2"/>
      <c r="K423" s="2"/>
      <c r="L423" s="2"/>
      <c r="M423" s="2"/>
      <c r="N423" s="2"/>
      <c r="AD423" s="2"/>
      <c r="AE423" s="2"/>
      <c r="BA423" s="2"/>
      <c r="BD423" s="2"/>
      <c r="BF423" s="2"/>
      <c r="BH423" s="2"/>
      <c r="BI423" s="2"/>
      <c r="BJ423" s="2"/>
    </row>
    <row r="424" ht="14.25" customHeight="1">
      <c r="E424" s="2"/>
      <c r="K424" s="2"/>
      <c r="L424" s="2"/>
      <c r="M424" s="2"/>
      <c r="N424" s="2"/>
      <c r="AD424" s="2"/>
      <c r="AE424" s="2"/>
      <c r="BA424" s="2"/>
      <c r="BD424" s="2"/>
      <c r="BF424" s="2"/>
      <c r="BH424" s="2"/>
      <c r="BI424" s="2"/>
      <c r="BJ424" s="2"/>
    </row>
    <row r="425" ht="14.25" customHeight="1">
      <c r="E425" s="2"/>
      <c r="K425" s="2"/>
      <c r="L425" s="2"/>
      <c r="M425" s="2"/>
      <c r="N425" s="2"/>
      <c r="AD425" s="2"/>
      <c r="AE425" s="2"/>
      <c r="BA425" s="2"/>
      <c r="BD425" s="2"/>
      <c r="BF425" s="2"/>
      <c r="BH425" s="2"/>
      <c r="BI425" s="2"/>
      <c r="BJ425" s="2"/>
    </row>
    <row r="426" ht="14.25" customHeight="1">
      <c r="E426" s="2"/>
      <c r="K426" s="2"/>
      <c r="L426" s="2"/>
      <c r="M426" s="2"/>
      <c r="N426" s="2"/>
      <c r="AD426" s="2"/>
      <c r="AE426" s="2"/>
      <c r="BA426" s="2"/>
      <c r="BD426" s="2"/>
      <c r="BF426" s="2"/>
      <c r="BH426" s="2"/>
      <c r="BI426" s="2"/>
      <c r="BJ426" s="2"/>
    </row>
    <row r="427" ht="14.25" customHeight="1">
      <c r="E427" s="2"/>
      <c r="K427" s="2"/>
      <c r="L427" s="2"/>
      <c r="M427" s="2"/>
      <c r="N427" s="2"/>
      <c r="AD427" s="2"/>
      <c r="AE427" s="2"/>
      <c r="BA427" s="2"/>
      <c r="BD427" s="2"/>
      <c r="BF427" s="2"/>
      <c r="BH427" s="2"/>
      <c r="BI427" s="2"/>
      <c r="BJ427" s="2"/>
    </row>
    <row r="428" ht="14.25" customHeight="1">
      <c r="E428" s="2"/>
      <c r="K428" s="2"/>
      <c r="L428" s="2"/>
      <c r="M428" s="2"/>
      <c r="N428" s="2"/>
      <c r="AD428" s="2"/>
      <c r="AE428" s="2"/>
      <c r="BA428" s="2"/>
      <c r="BD428" s="2"/>
      <c r="BF428" s="2"/>
      <c r="BH428" s="2"/>
      <c r="BI428" s="2"/>
      <c r="BJ428" s="2"/>
    </row>
    <row r="429" ht="14.25" customHeight="1">
      <c r="E429" s="2"/>
      <c r="K429" s="2"/>
      <c r="L429" s="2"/>
      <c r="M429" s="2"/>
      <c r="N429" s="2"/>
      <c r="AD429" s="2"/>
      <c r="AE429" s="2"/>
      <c r="BA429" s="2"/>
      <c r="BD429" s="2"/>
      <c r="BF429" s="2"/>
      <c r="BH429" s="2"/>
      <c r="BI429" s="2"/>
      <c r="BJ429" s="2"/>
    </row>
    <row r="430" ht="14.25" customHeight="1">
      <c r="E430" s="2"/>
      <c r="K430" s="2"/>
      <c r="L430" s="2"/>
      <c r="M430" s="2"/>
      <c r="N430" s="2"/>
      <c r="AD430" s="2"/>
      <c r="AE430" s="2"/>
      <c r="BA430" s="2"/>
      <c r="BD430" s="2"/>
      <c r="BF430" s="2"/>
      <c r="BH430" s="2"/>
      <c r="BI430" s="2"/>
      <c r="BJ430" s="2"/>
    </row>
    <row r="431" ht="14.25" customHeight="1">
      <c r="E431" s="2"/>
      <c r="K431" s="2"/>
      <c r="L431" s="2"/>
      <c r="M431" s="2"/>
      <c r="N431" s="2"/>
      <c r="AD431" s="2"/>
      <c r="AE431" s="2"/>
      <c r="BA431" s="2"/>
      <c r="BD431" s="2"/>
      <c r="BF431" s="2"/>
      <c r="BH431" s="2"/>
      <c r="BI431" s="2"/>
      <c r="BJ431" s="2"/>
    </row>
    <row r="432" ht="14.25" customHeight="1">
      <c r="E432" s="2"/>
      <c r="K432" s="2"/>
      <c r="L432" s="2"/>
      <c r="M432" s="2"/>
      <c r="N432" s="2"/>
      <c r="AD432" s="2"/>
      <c r="AE432" s="2"/>
      <c r="BA432" s="2"/>
      <c r="BD432" s="2"/>
      <c r="BF432" s="2"/>
      <c r="BH432" s="2"/>
      <c r="BI432" s="2"/>
      <c r="BJ432" s="2"/>
    </row>
    <row r="433" ht="14.25" customHeight="1">
      <c r="E433" s="2"/>
      <c r="K433" s="2"/>
      <c r="L433" s="2"/>
      <c r="M433" s="2"/>
      <c r="N433" s="2"/>
      <c r="AD433" s="2"/>
      <c r="AE433" s="2"/>
      <c r="BA433" s="2"/>
      <c r="BD433" s="2"/>
      <c r="BF433" s="2"/>
      <c r="BH433" s="2"/>
      <c r="BI433" s="2"/>
      <c r="BJ433" s="2"/>
    </row>
    <row r="434" ht="14.25" customHeight="1">
      <c r="E434" s="2"/>
      <c r="K434" s="2"/>
      <c r="L434" s="2"/>
      <c r="M434" s="2"/>
      <c r="N434" s="2"/>
      <c r="AD434" s="2"/>
      <c r="AE434" s="2"/>
      <c r="BA434" s="2"/>
      <c r="BD434" s="2"/>
      <c r="BF434" s="2"/>
      <c r="BH434" s="2"/>
      <c r="BI434" s="2"/>
      <c r="BJ434" s="2"/>
    </row>
    <row r="435" ht="14.25" customHeight="1">
      <c r="E435" s="2"/>
      <c r="K435" s="2"/>
      <c r="L435" s="2"/>
      <c r="M435" s="2"/>
      <c r="N435" s="2"/>
      <c r="AD435" s="2"/>
      <c r="AE435" s="2"/>
      <c r="BA435" s="2"/>
      <c r="BD435" s="2"/>
      <c r="BF435" s="2"/>
      <c r="BH435" s="2"/>
      <c r="BI435" s="2"/>
      <c r="BJ435" s="2"/>
    </row>
    <row r="436" ht="14.25" customHeight="1">
      <c r="E436" s="2"/>
      <c r="K436" s="2"/>
      <c r="L436" s="2"/>
      <c r="M436" s="2"/>
      <c r="N436" s="2"/>
      <c r="AD436" s="2"/>
      <c r="AE436" s="2"/>
      <c r="BA436" s="2"/>
      <c r="BD436" s="2"/>
      <c r="BF436" s="2"/>
      <c r="BH436" s="2"/>
      <c r="BI436" s="2"/>
      <c r="BJ436" s="2"/>
    </row>
    <row r="437" ht="14.25" customHeight="1">
      <c r="E437" s="2"/>
      <c r="K437" s="2"/>
      <c r="L437" s="2"/>
      <c r="M437" s="2"/>
      <c r="N437" s="2"/>
      <c r="AD437" s="2"/>
      <c r="AE437" s="2"/>
      <c r="BA437" s="2"/>
      <c r="BD437" s="2"/>
      <c r="BF437" s="2"/>
      <c r="BH437" s="2"/>
      <c r="BI437" s="2"/>
      <c r="BJ437" s="2"/>
    </row>
    <row r="438" ht="14.25" customHeight="1">
      <c r="E438" s="2"/>
      <c r="K438" s="2"/>
      <c r="L438" s="2"/>
      <c r="M438" s="2"/>
      <c r="N438" s="2"/>
      <c r="AD438" s="2"/>
      <c r="AE438" s="2"/>
      <c r="BA438" s="2"/>
      <c r="BD438" s="2"/>
      <c r="BF438" s="2"/>
      <c r="BH438" s="2"/>
      <c r="BI438" s="2"/>
      <c r="BJ438" s="2"/>
    </row>
    <row r="439" ht="14.25" customHeight="1">
      <c r="E439" s="2"/>
      <c r="K439" s="2"/>
      <c r="L439" s="2"/>
      <c r="M439" s="2"/>
      <c r="N439" s="2"/>
      <c r="AD439" s="2"/>
      <c r="AE439" s="2"/>
      <c r="BA439" s="2"/>
      <c r="BD439" s="2"/>
      <c r="BF439" s="2"/>
      <c r="BH439" s="2"/>
      <c r="BI439" s="2"/>
      <c r="BJ439" s="2"/>
    </row>
    <row r="440" ht="14.25" customHeight="1">
      <c r="E440" s="2"/>
      <c r="K440" s="2"/>
      <c r="L440" s="2"/>
      <c r="M440" s="2"/>
      <c r="N440" s="2"/>
      <c r="AD440" s="2"/>
      <c r="AE440" s="2"/>
      <c r="BA440" s="2"/>
      <c r="BD440" s="2"/>
      <c r="BF440" s="2"/>
      <c r="BH440" s="2"/>
      <c r="BI440" s="2"/>
      <c r="BJ440" s="2"/>
    </row>
    <row r="441" ht="14.25" customHeight="1">
      <c r="E441" s="2"/>
      <c r="K441" s="2"/>
      <c r="L441" s="2"/>
      <c r="M441" s="2"/>
      <c r="N441" s="2"/>
      <c r="AD441" s="2"/>
      <c r="AE441" s="2"/>
      <c r="BA441" s="2"/>
      <c r="BD441" s="2"/>
      <c r="BF441" s="2"/>
      <c r="BH441" s="2"/>
      <c r="BI441" s="2"/>
      <c r="BJ441" s="2"/>
    </row>
    <row r="442" ht="14.25" customHeight="1">
      <c r="E442" s="2"/>
      <c r="K442" s="2"/>
      <c r="L442" s="2"/>
      <c r="M442" s="2"/>
      <c r="N442" s="2"/>
      <c r="AD442" s="2"/>
      <c r="AE442" s="2"/>
      <c r="BA442" s="2"/>
      <c r="BD442" s="2"/>
      <c r="BF442" s="2"/>
      <c r="BH442" s="2"/>
      <c r="BI442" s="2"/>
      <c r="BJ442" s="2"/>
    </row>
    <row r="443" ht="14.25" customHeight="1">
      <c r="E443" s="2"/>
      <c r="K443" s="2"/>
      <c r="L443" s="2"/>
      <c r="M443" s="2"/>
      <c r="N443" s="2"/>
      <c r="AD443" s="2"/>
      <c r="AE443" s="2"/>
      <c r="BA443" s="2"/>
      <c r="BD443" s="2"/>
      <c r="BF443" s="2"/>
      <c r="BH443" s="2"/>
      <c r="BI443" s="2"/>
      <c r="BJ443" s="2"/>
    </row>
    <row r="444" ht="14.25" customHeight="1">
      <c r="E444" s="2"/>
      <c r="K444" s="2"/>
      <c r="L444" s="2"/>
      <c r="M444" s="2"/>
      <c r="N444" s="2"/>
      <c r="AD444" s="2"/>
      <c r="AE444" s="2"/>
      <c r="BA444" s="2"/>
      <c r="BD444" s="2"/>
      <c r="BF444" s="2"/>
      <c r="BH444" s="2"/>
      <c r="BI444" s="2"/>
      <c r="BJ444" s="2"/>
    </row>
    <row r="445" ht="14.25" customHeight="1">
      <c r="E445" s="2"/>
      <c r="K445" s="2"/>
      <c r="L445" s="2"/>
      <c r="M445" s="2"/>
      <c r="N445" s="2"/>
      <c r="AD445" s="2"/>
      <c r="AE445" s="2"/>
      <c r="BA445" s="2"/>
      <c r="BD445" s="2"/>
      <c r="BF445" s="2"/>
      <c r="BH445" s="2"/>
      <c r="BI445" s="2"/>
      <c r="BJ445" s="2"/>
    </row>
    <row r="446" ht="14.25" customHeight="1">
      <c r="E446" s="2"/>
      <c r="K446" s="2"/>
      <c r="L446" s="2"/>
      <c r="M446" s="2"/>
      <c r="N446" s="2"/>
      <c r="AD446" s="2"/>
      <c r="AE446" s="2"/>
      <c r="BA446" s="2"/>
      <c r="BD446" s="2"/>
      <c r="BF446" s="2"/>
      <c r="BH446" s="2"/>
      <c r="BI446" s="2"/>
      <c r="BJ446" s="2"/>
    </row>
    <row r="447" ht="14.25" customHeight="1">
      <c r="E447" s="2"/>
      <c r="K447" s="2"/>
      <c r="L447" s="2"/>
      <c r="M447" s="2"/>
      <c r="N447" s="2"/>
      <c r="AD447" s="2"/>
      <c r="AE447" s="2"/>
      <c r="BA447" s="2"/>
      <c r="BD447" s="2"/>
      <c r="BF447" s="2"/>
      <c r="BH447" s="2"/>
      <c r="BI447" s="2"/>
      <c r="BJ447" s="2"/>
    </row>
    <row r="448" ht="14.25" customHeight="1">
      <c r="E448" s="2"/>
      <c r="K448" s="2"/>
      <c r="L448" s="2"/>
      <c r="M448" s="2"/>
      <c r="N448" s="2"/>
      <c r="AD448" s="2"/>
      <c r="AE448" s="2"/>
      <c r="BA448" s="2"/>
      <c r="BD448" s="2"/>
      <c r="BF448" s="2"/>
      <c r="BH448" s="2"/>
      <c r="BI448" s="2"/>
      <c r="BJ448" s="2"/>
    </row>
    <row r="449" ht="14.25" customHeight="1">
      <c r="E449" s="2"/>
      <c r="K449" s="2"/>
      <c r="L449" s="2"/>
      <c r="M449" s="2"/>
      <c r="N449" s="2"/>
      <c r="AD449" s="2"/>
      <c r="AE449" s="2"/>
      <c r="BA449" s="2"/>
      <c r="BD449" s="2"/>
      <c r="BF449" s="2"/>
      <c r="BH449" s="2"/>
      <c r="BI449" s="2"/>
      <c r="BJ449" s="2"/>
    </row>
    <row r="450" ht="14.25" customHeight="1">
      <c r="E450" s="2"/>
      <c r="K450" s="2"/>
      <c r="L450" s="2"/>
      <c r="M450" s="2"/>
      <c r="N450" s="2"/>
      <c r="AD450" s="2"/>
      <c r="AE450" s="2"/>
      <c r="BA450" s="2"/>
      <c r="BD450" s="2"/>
      <c r="BF450" s="2"/>
      <c r="BH450" s="2"/>
      <c r="BI450" s="2"/>
      <c r="BJ450" s="2"/>
    </row>
    <row r="451" ht="14.25" customHeight="1">
      <c r="E451" s="2"/>
      <c r="K451" s="2"/>
      <c r="L451" s="2"/>
      <c r="M451" s="2"/>
      <c r="N451" s="2"/>
      <c r="AD451" s="2"/>
      <c r="AE451" s="2"/>
      <c r="BA451" s="2"/>
      <c r="BD451" s="2"/>
      <c r="BF451" s="2"/>
      <c r="BH451" s="2"/>
      <c r="BI451" s="2"/>
      <c r="BJ451" s="2"/>
    </row>
    <row r="452" ht="14.25" customHeight="1">
      <c r="E452" s="2"/>
      <c r="K452" s="2"/>
      <c r="L452" s="2"/>
      <c r="M452" s="2"/>
      <c r="N452" s="2"/>
      <c r="AD452" s="2"/>
      <c r="AE452" s="2"/>
      <c r="BA452" s="2"/>
      <c r="BD452" s="2"/>
      <c r="BF452" s="2"/>
      <c r="BH452" s="2"/>
      <c r="BI452" s="2"/>
      <c r="BJ452" s="2"/>
    </row>
    <row r="453" ht="14.25" customHeight="1">
      <c r="E453" s="2"/>
      <c r="K453" s="2"/>
      <c r="L453" s="2"/>
      <c r="M453" s="2"/>
      <c r="N453" s="2"/>
      <c r="AD453" s="2"/>
      <c r="AE453" s="2"/>
      <c r="BA453" s="2"/>
      <c r="BD453" s="2"/>
      <c r="BF453" s="2"/>
      <c r="BH453" s="2"/>
      <c r="BI453" s="2"/>
      <c r="BJ453" s="2"/>
    </row>
    <row r="454" ht="14.25" customHeight="1">
      <c r="E454" s="2"/>
      <c r="K454" s="2"/>
      <c r="L454" s="2"/>
      <c r="M454" s="2"/>
      <c r="N454" s="2"/>
      <c r="AD454" s="2"/>
      <c r="AE454" s="2"/>
      <c r="BA454" s="2"/>
      <c r="BD454" s="2"/>
      <c r="BF454" s="2"/>
      <c r="BH454" s="2"/>
      <c r="BI454" s="2"/>
      <c r="BJ454" s="2"/>
    </row>
    <row r="455" ht="14.25" customHeight="1">
      <c r="E455" s="2"/>
      <c r="K455" s="2"/>
      <c r="L455" s="2"/>
      <c r="M455" s="2"/>
      <c r="N455" s="2"/>
      <c r="AD455" s="2"/>
      <c r="AE455" s="2"/>
      <c r="BA455" s="2"/>
      <c r="BD455" s="2"/>
      <c r="BF455" s="2"/>
      <c r="BH455" s="2"/>
      <c r="BI455" s="2"/>
      <c r="BJ455" s="2"/>
    </row>
    <row r="456" ht="14.25" customHeight="1">
      <c r="E456" s="2"/>
      <c r="K456" s="2"/>
      <c r="L456" s="2"/>
      <c r="M456" s="2"/>
      <c r="N456" s="2"/>
      <c r="AD456" s="2"/>
      <c r="AE456" s="2"/>
      <c r="BA456" s="2"/>
      <c r="BD456" s="2"/>
      <c r="BF456" s="2"/>
      <c r="BH456" s="2"/>
      <c r="BI456" s="2"/>
      <c r="BJ456" s="2"/>
    </row>
    <row r="457" ht="14.25" customHeight="1">
      <c r="E457" s="2"/>
      <c r="K457" s="2"/>
      <c r="L457" s="2"/>
      <c r="M457" s="2"/>
      <c r="N457" s="2"/>
      <c r="AD457" s="2"/>
      <c r="AE457" s="2"/>
      <c r="BA457" s="2"/>
      <c r="BD457" s="2"/>
      <c r="BF457" s="2"/>
      <c r="BH457" s="2"/>
      <c r="BI457" s="2"/>
      <c r="BJ457" s="2"/>
    </row>
    <row r="458" ht="14.25" customHeight="1">
      <c r="E458" s="2"/>
      <c r="K458" s="2"/>
      <c r="L458" s="2"/>
      <c r="M458" s="2"/>
      <c r="N458" s="2"/>
      <c r="AD458" s="2"/>
      <c r="AE458" s="2"/>
      <c r="BA458" s="2"/>
      <c r="BD458" s="2"/>
      <c r="BF458" s="2"/>
      <c r="BH458" s="2"/>
      <c r="BI458" s="2"/>
      <c r="BJ458" s="2"/>
    </row>
    <row r="459" ht="14.25" customHeight="1">
      <c r="E459" s="2"/>
      <c r="K459" s="2"/>
      <c r="L459" s="2"/>
      <c r="M459" s="2"/>
      <c r="N459" s="2"/>
      <c r="AD459" s="2"/>
      <c r="AE459" s="2"/>
      <c r="BA459" s="2"/>
      <c r="BD459" s="2"/>
      <c r="BF459" s="2"/>
      <c r="BH459" s="2"/>
      <c r="BI459" s="2"/>
      <c r="BJ459" s="2"/>
    </row>
    <row r="460" ht="14.25" customHeight="1">
      <c r="E460" s="2"/>
      <c r="K460" s="2"/>
      <c r="L460" s="2"/>
      <c r="M460" s="2"/>
      <c r="N460" s="2"/>
      <c r="AD460" s="2"/>
      <c r="AE460" s="2"/>
      <c r="BA460" s="2"/>
      <c r="BD460" s="2"/>
      <c r="BF460" s="2"/>
      <c r="BH460" s="2"/>
      <c r="BI460" s="2"/>
      <c r="BJ460" s="2"/>
    </row>
    <row r="461" ht="14.25" customHeight="1">
      <c r="E461" s="2"/>
      <c r="K461" s="2"/>
      <c r="L461" s="2"/>
      <c r="M461" s="2"/>
      <c r="N461" s="2"/>
      <c r="AD461" s="2"/>
      <c r="AE461" s="2"/>
      <c r="BA461" s="2"/>
      <c r="BD461" s="2"/>
      <c r="BF461" s="2"/>
      <c r="BH461" s="2"/>
      <c r="BI461" s="2"/>
      <c r="BJ461" s="2"/>
    </row>
    <row r="462" ht="14.25" customHeight="1">
      <c r="E462" s="2"/>
      <c r="K462" s="2"/>
      <c r="L462" s="2"/>
      <c r="M462" s="2"/>
      <c r="N462" s="2"/>
      <c r="AD462" s="2"/>
      <c r="AE462" s="2"/>
      <c r="BA462" s="2"/>
      <c r="BD462" s="2"/>
      <c r="BF462" s="2"/>
      <c r="BH462" s="2"/>
      <c r="BI462" s="2"/>
      <c r="BJ462" s="2"/>
    </row>
    <row r="463" ht="14.25" customHeight="1">
      <c r="E463" s="2"/>
      <c r="K463" s="2"/>
      <c r="L463" s="2"/>
      <c r="M463" s="2"/>
      <c r="N463" s="2"/>
      <c r="AD463" s="2"/>
      <c r="AE463" s="2"/>
      <c r="BA463" s="2"/>
      <c r="BD463" s="2"/>
      <c r="BF463" s="2"/>
      <c r="BH463" s="2"/>
      <c r="BI463" s="2"/>
      <c r="BJ463" s="2"/>
    </row>
    <row r="464" ht="14.25" customHeight="1">
      <c r="E464" s="2"/>
      <c r="K464" s="2"/>
      <c r="L464" s="2"/>
      <c r="M464" s="2"/>
      <c r="N464" s="2"/>
      <c r="AD464" s="2"/>
      <c r="AE464" s="2"/>
      <c r="BA464" s="2"/>
      <c r="BD464" s="2"/>
      <c r="BF464" s="2"/>
      <c r="BH464" s="2"/>
      <c r="BI464" s="2"/>
      <c r="BJ464" s="2"/>
    </row>
    <row r="465" ht="14.25" customHeight="1">
      <c r="E465" s="2"/>
      <c r="K465" s="2"/>
      <c r="L465" s="2"/>
      <c r="M465" s="2"/>
      <c r="N465" s="2"/>
      <c r="AD465" s="2"/>
      <c r="AE465" s="2"/>
      <c r="BA465" s="2"/>
      <c r="BD465" s="2"/>
      <c r="BF465" s="2"/>
      <c r="BH465" s="2"/>
      <c r="BI465" s="2"/>
      <c r="BJ465" s="2"/>
    </row>
    <row r="466" ht="14.25" customHeight="1">
      <c r="E466" s="2"/>
      <c r="K466" s="2"/>
      <c r="L466" s="2"/>
      <c r="M466" s="2"/>
      <c r="N466" s="2"/>
      <c r="AD466" s="2"/>
      <c r="AE466" s="2"/>
      <c r="BA466" s="2"/>
      <c r="BD466" s="2"/>
      <c r="BF466" s="2"/>
      <c r="BH466" s="2"/>
      <c r="BI466" s="2"/>
      <c r="BJ466" s="2"/>
    </row>
    <row r="467" ht="14.25" customHeight="1">
      <c r="E467" s="2"/>
      <c r="K467" s="2"/>
      <c r="L467" s="2"/>
      <c r="M467" s="2"/>
      <c r="N467" s="2"/>
      <c r="AD467" s="2"/>
      <c r="AE467" s="2"/>
      <c r="BA467" s="2"/>
      <c r="BD467" s="2"/>
      <c r="BF467" s="2"/>
      <c r="BH467" s="2"/>
      <c r="BI467" s="2"/>
      <c r="BJ467" s="2"/>
    </row>
    <row r="468" ht="14.25" customHeight="1">
      <c r="E468" s="2"/>
      <c r="K468" s="2"/>
      <c r="L468" s="2"/>
      <c r="M468" s="2"/>
      <c r="N468" s="2"/>
      <c r="AD468" s="2"/>
      <c r="AE468" s="2"/>
      <c r="BA468" s="2"/>
      <c r="BD468" s="2"/>
      <c r="BF468" s="2"/>
      <c r="BH468" s="2"/>
      <c r="BI468" s="2"/>
      <c r="BJ468" s="2"/>
    </row>
    <row r="469" ht="14.25" customHeight="1">
      <c r="E469" s="2"/>
      <c r="K469" s="2"/>
      <c r="L469" s="2"/>
      <c r="M469" s="2"/>
      <c r="N469" s="2"/>
      <c r="AD469" s="2"/>
      <c r="AE469" s="2"/>
      <c r="BA469" s="2"/>
      <c r="BD469" s="2"/>
      <c r="BF469" s="2"/>
      <c r="BH469" s="2"/>
      <c r="BI469" s="2"/>
      <c r="BJ469" s="2"/>
    </row>
    <row r="470" ht="14.25" customHeight="1">
      <c r="E470" s="2"/>
      <c r="K470" s="2"/>
      <c r="L470" s="2"/>
      <c r="M470" s="2"/>
      <c r="N470" s="2"/>
      <c r="AD470" s="2"/>
      <c r="AE470" s="2"/>
      <c r="BA470" s="2"/>
      <c r="BD470" s="2"/>
      <c r="BF470" s="2"/>
      <c r="BH470" s="2"/>
      <c r="BI470" s="2"/>
      <c r="BJ470" s="2"/>
    </row>
    <row r="471" ht="14.25" customHeight="1">
      <c r="E471" s="2"/>
      <c r="K471" s="2"/>
      <c r="L471" s="2"/>
      <c r="M471" s="2"/>
      <c r="N471" s="2"/>
      <c r="AD471" s="2"/>
      <c r="AE471" s="2"/>
      <c r="BA471" s="2"/>
      <c r="BD471" s="2"/>
      <c r="BF471" s="2"/>
      <c r="BH471" s="2"/>
      <c r="BI471" s="2"/>
      <c r="BJ471" s="2"/>
    </row>
    <row r="472" ht="14.25" customHeight="1">
      <c r="E472" s="2"/>
      <c r="K472" s="2"/>
      <c r="L472" s="2"/>
      <c r="M472" s="2"/>
      <c r="N472" s="2"/>
      <c r="AD472" s="2"/>
      <c r="AE472" s="2"/>
      <c r="BA472" s="2"/>
      <c r="BD472" s="2"/>
      <c r="BF472" s="2"/>
      <c r="BH472" s="2"/>
      <c r="BI472" s="2"/>
      <c r="BJ472" s="2"/>
    </row>
    <row r="473" ht="14.25" customHeight="1">
      <c r="E473" s="2"/>
      <c r="K473" s="2"/>
      <c r="L473" s="2"/>
      <c r="M473" s="2"/>
      <c r="N473" s="2"/>
      <c r="AD473" s="2"/>
      <c r="AE473" s="2"/>
      <c r="BA473" s="2"/>
      <c r="BD473" s="2"/>
      <c r="BF473" s="2"/>
      <c r="BH473" s="2"/>
      <c r="BI473" s="2"/>
      <c r="BJ473" s="2"/>
    </row>
    <row r="474" ht="14.25" customHeight="1">
      <c r="E474" s="2"/>
      <c r="K474" s="2"/>
      <c r="L474" s="2"/>
      <c r="M474" s="2"/>
      <c r="N474" s="2"/>
      <c r="AD474" s="2"/>
      <c r="AE474" s="2"/>
      <c r="BA474" s="2"/>
      <c r="BD474" s="2"/>
      <c r="BF474" s="2"/>
      <c r="BH474" s="2"/>
      <c r="BI474" s="2"/>
      <c r="BJ474" s="2"/>
    </row>
    <row r="475" ht="14.25" customHeight="1">
      <c r="E475" s="2"/>
      <c r="K475" s="2"/>
      <c r="L475" s="2"/>
      <c r="M475" s="2"/>
      <c r="N475" s="2"/>
      <c r="AD475" s="2"/>
      <c r="AE475" s="2"/>
      <c r="BA475" s="2"/>
      <c r="BD475" s="2"/>
      <c r="BF475" s="2"/>
      <c r="BH475" s="2"/>
      <c r="BI475" s="2"/>
      <c r="BJ475" s="2"/>
    </row>
    <row r="476" ht="14.25" customHeight="1">
      <c r="E476" s="2"/>
      <c r="K476" s="2"/>
      <c r="L476" s="2"/>
      <c r="M476" s="2"/>
      <c r="N476" s="2"/>
      <c r="AD476" s="2"/>
      <c r="AE476" s="2"/>
      <c r="BA476" s="2"/>
      <c r="BD476" s="2"/>
      <c r="BF476" s="2"/>
      <c r="BH476" s="2"/>
      <c r="BI476" s="2"/>
      <c r="BJ476" s="2"/>
    </row>
    <row r="477" ht="14.25" customHeight="1">
      <c r="E477" s="2"/>
      <c r="K477" s="2"/>
      <c r="L477" s="2"/>
      <c r="M477" s="2"/>
      <c r="N477" s="2"/>
      <c r="AD477" s="2"/>
      <c r="AE477" s="2"/>
      <c r="BA477" s="2"/>
      <c r="BD477" s="2"/>
      <c r="BF477" s="2"/>
      <c r="BH477" s="2"/>
      <c r="BI477" s="2"/>
      <c r="BJ477" s="2"/>
    </row>
    <row r="478" ht="14.25" customHeight="1">
      <c r="E478" s="2"/>
      <c r="K478" s="2"/>
      <c r="L478" s="2"/>
      <c r="M478" s="2"/>
      <c r="N478" s="2"/>
      <c r="AD478" s="2"/>
      <c r="AE478" s="2"/>
      <c r="BA478" s="2"/>
      <c r="BD478" s="2"/>
      <c r="BF478" s="2"/>
      <c r="BH478" s="2"/>
      <c r="BI478" s="2"/>
      <c r="BJ478" s="2"/>
    </row>
    <row r="479" ht="14.25" customHeight="1">
      <c r="E479" s="2"/>
      <c r="K479" s="2"/>
      <c r="L479" s="2"/>
      <c r="M479" s="2"/>
      <c r="N479" s="2"/>
      <c r="AD479" s="2"/>
      <c r="AE479" s="2"/>
      <c r="BA479" s="2"/>
      <c r="BD479" s="2"/>
      <c r="BF479" s="2"/>
      <c r="BH479" s="2"/>
      <c r="BI479" s="2"/>
      <c r="BJ479" s="2"/>
    </row>
    <row r="480" ht="14.25" customHeight="1">
      <c r="E480" s="2"/>
      <c r="K480" s="2"/>
      <c r="L480" s="2"/>
      <c r="M480" s="2"/>
      <c r="N480" s="2"/>
      <c r="AD480" s="2"/>
      <c r="AE480" s="2"/>
      <c r="BA480" s="2"/>
      <c r="BD480" s="2"/>
      <c r="BF480" s="2"/>
      <c r="BH480" s="2"/>
      <c r="BI480" s="2"/>
      <c r="BJ480" s="2"/>
    </row>
    <row r="481" ht="14.25" customHeight="1">
      <c r="E481" s="2"/>
      <c r="K481" s="2"/>
      <c r="L481" s="2"/>
      <c r="M481" s="2"/>
      <c r="N481" s="2"/>
      <c r="AD481" s="2"/>
      <c r="AE481" s="2"/>
      <c r="BA481" s="2"/>
      <c r="BD481" s="2"/>
      <c r="BF481" s="2"/>
      <c r="BH481" s="2"/>
      <c r="BI481" s="2"/>
      <c r="BJ481" s="2"/>
    </row>
    <row r="482" ht="14.25" customHeight="1">
      <c r="E482" s="2"/>
      <c r="K482" s="2"/>
      <c r="L482" s="2"/>
      <c r="M482" s="2"/>
      <c r="N482" s="2"/>
      <c r="AD482" s="2"/>
      <c r="AE482" s="2"/>
      <c r="BA482" s="2"/>
      <c r="BD482" s="2"/>
      <c r="BF482" s="2"/>
      <c r="BH482" s="2"/>
      <c r="BI482" s="2"/>
      <c r="BJ482" s="2"/>
    </row>
    <row r="483" ht="14.25" customHeight="1">
      <c r="E483" s="2"/>
      <c r="K483" s="2"/>
      <c r="L483" s="2"/>
      <c r="M483" s="2"/>
      <c r="N483" s="2"/>
      <c r="AD483" s="2"/>
      <c r="AE483" s="2"/>
      <c r="BA483" s="2"/>
      <c r="BD483" s="2"/>
      <c r="BF483" s="2"/>
      <c r="BH483" s="2"/>
      <c r="BI483" s="2"/>
      <c r="BJ483" s="2"/>
    </row>
    <row r="484" ht="14.25" customHeight="1">
      <c r="E484" s="2"/>
      <c r="K484" s="2"/>
      <c r="L484" s="2"/>
      <c r="M484" s="2"/>
      <c r="N484" s="2"/>
      <c r="AD484" s="2"/>
      <c r="AE484" s="2"/>
      <c r="BA484" s="2"/>
      <c r="BD484" s="2"/>
      <c r="BF484" s="2"/>
      <c r="BH484" s="2"/>
      <c r="BI484" s="2"/>
      <c r="BJ484" s="2"/>
    </row>
    <row r="485" ht="14.25" customHeight="1">
      <c r="E485" s="2"/>
      <c r="K485" s="2"/>
      <c r="L485" s="2"/>
      <c r="M485" s="2"/>
      <c r="N485" s="2"/>
      <c r="AD485" s="2"/>
      <c r="AE485" s="2"/>
      <c r="BA485" s="2"/>
      <c r="BD485" s="2"/>
      <c r="BF485" s="2"/>
      <c r="BH485" s="2"/>
      <c r="BI485" s="2"/>
      <c r="BJ485" s="2"/>
    </row>
    <row r="486" ht="14.25" customHeight="1">
      <c r="E486" s="2"/>
      <c r="K486" s="2"/>
      <c r="L486" s="2"/>
      <c r="M486" s="2"/>
      <c r="N486" s="2"/>
      <c r="AD486" s="2"/>
      <c r="AE486" s="2"/>
      <c r="BA486" s="2"/>
      <c r="BD486" s="2"/>
      <c r="BF486" s="2"/>
      <c r="BH486" s="2"/>
      <c r="BI486" s="2"/>
      <c r="BJ486" s="2"/>
    </row>
    <row r="487" ht="14.25" customHeight="1">
      <c r="E487" s="2"/>
      <c r="K487" s="2"/>
      <c r="L487" s="2"/>
      <c r="M487" s="2"/>
      <c r="N487" s="2"/>
      <c r="AD487" s="2"/>
      <c r="AE487" s="2"/>
      <c r="BA487" s="2"/>
      <c r="BD487" s="2"/>
      <c r="BF487" s="2"/>
      <c r="BH487" s="2"/>
      <c r="BI487" s="2"/>
      <c r="BJ487" s="2"/>
    </row>
    <row r="488" ht="14.25" customHeight="1">
      <c r="E488" s="2"/>
      <c r="K488" s="2"/>
      <c r="L488" s="2"/>
      <c r="M488" s="2"/>
      <c r="N488" s="2"/>
      <c r="AD488" s="2"/>
      <c r="AE488" s="2"/>
      <c r="BA488" s="2"/>
      <c r="BD488" s="2"/>
      <c r="BF488" s="2"/>
      <c r="BH488" s="2"/>
      <c r="BI488" s="2"/>
      <c r="BJ488" s="2"/>
    </row>
    <row r="489" ht="14.25" customHeight="1">
      <c r="E489" s="2"/>
      <c r="K489" s="2"/>
      <c r="L489" s="2"/>
      <c r="M489" s="2"/>
      <c r="N489" s="2"/>
      <c r="AD489" s="2"/>
      <c r="AE489" s="2"/>
      <c r="BA489" s="2"/>
      <c r="BD489" s="2"/>
      <c r="BF489" s="2"/>
      <c r="BH489" s="2"/>
      <c r="BI489" s="2"/>
      <c r="BJ489" s="2"/>
    </row>
    <row r="490" ht="14.25" customHeight="1">
      <c r="E490" s="2"/>
      <c r="K490" s="2"/>
      <c r="L490" s="2"/>
      <c r="M490" s="2"/>
      <c r="N490" s="2"/>
      <c r="AD490" s="2"/>
      <c r="AE490" s="2"/>
      <c r="BA490" s="2"/>
      <c r="BD490" s="2"/>
      <c r="BF490" s="2"/>
      <c r="BH490" s="2"/>
      <c r="BI490" s="2"/>
      <c r="BJ490" s="2"/>
    </row>
    <row r="491" ht="14.25" customHeight="1">
      <c r="E491" s="2"/>
      <c r="K491" s="2"/>
      <c r="L491" s="2"/>
      <c r="M491" s="2"/>
      <c r="N491" s="2"/>
      <c r="AD491" s="2"/>
      <c r="AE491" s="2"/>
      <c r="BA491" s="2"/>
      <c r="BD491" s="2"/>
      <c r="BF491" s="2"/>
      <c r="BH491" s="2"/>
      <c r="BI491" s="2"/>
      <c r="BJ491" s="2"/>
    </row>
    <row r="492" ht="14.25" customHeight="1">
      <c r="E492" s="2"/>
      <c r="K492" s="2"/>
      <c r="L492" s="2"/>
      <c r="M492" s="2"/>
      <c r="N492" s="2"/>
      <c r="AD492" s="2"/>
      <c r="AE492" s="2"/>
      <c r="BA492" s="2"/>
      <c r="BD492" s="2"/>
      <c r="BF492" s="2"/>
      <c r="BH492" s="2"/>
      <c r="BI492" s="2"/>
      <c r="BJ492" s="2"/>
    </row>
    <row r="493" ht="14.25" customHeight="1">
      <c r="E493" s="2"/>
      <c r="K493" s="2"/>
      <c r="L493" s="2"/>
      <c r="M493" s="2"/>
      <c r="N493" s="2"/>
      <c r="AD493" s="2"/>
      <c r="AE493" s="2"/>
      <c r="BA493" s="2"/>
      <c r="BD493" s="2"/>
      <c r="BF493" s="2"/>
      <c r="BH493" s="2"/>
      <c r="BI493" s="2"/>
      <c r="BJ493" s="2"/>
    </row>
    <row r="494" ht="14.25" customHeight="1">
      <c r="E494" s="2"/>
      <c r="K494" s="2"/>
      <c r="L494" s="2"/>
      <c r="M494" s="2"/>
      <c r="N494" s="2"/>
      <c r="AD494" s="2"/>
      <c r="AE494" s="2"/>
      <c r="BA494" s="2"/>
      <c r="BD494" s="2"/>
      <c r="BF494" s="2"/>
      <c r="BH494" s="2"/>
      <c r="BI494" s="2"/>
      <c r="BJ494" s="2"/>
    </row>
    <row r="495" ht="14.25" customHeight="1">
      <c r="E495" s="2"/>
      <c r="K495" s="2"/>
      <c r="L495" s="2"/>
      <c r="M495" s="2"/>
      <c r="N495" s="2"/>
      <c r="AD495" s="2"/>
      <c r="AE495" s="2"/>
      <c r="BA495" s="2"/>
      <c r="BD495" s="2"/>
      <c r="BF495" s="2"/>
      <c r="BH495" s="2"/>
      <c r="BI495" s="2"/>
      <c r="BJ495" s="2"/>
    </row>
    <row r="496" ht="14.25" customHeight="1">
      <c r="E496" s="2"/>
      <c r="K496" s="2"/>
      <c r="L496" s="2"/>
      <c r="M496" s="2"/>
      <c r="N496" s="2"/>
      <c r="AD496" s="2"/>
      <c r="AE496" s="2"/>
      <c r="BA496" s="2"/>
      <c r="BD496" s="2"/>
      <c r="BF496" s="2"/>
      <c r="BH496" s="2"/>
      <c r="BI496" s="2"/>
      <c r="BJ496" s="2"/>
    </row>
    <row r="497" ht="14.25" customHeight="1">
      <c r="E497" s="2"/>
      <c r="K497" s="2"/>
      <c r="L497" s="2"/>
      <c r="M497" s="2"/>
      <c r="N497" s="2"/>
      <c r="AD497" s="2"/>
      <c r="AE497" s="2"/>
      <c r="BA497" s="2"/>
      <c r="BD497" s="2"/>
      <c r="BF497" s="2"/>
      <c r="BH497" s="2"/>
      <c r="BI497" s="2"/>
      <c r="BJ497" s="2"/>
    </row>
    <row r="498" ht="14.25" customHeight="1">
      <c r="E498" s="2"/>
      <c r="K498" s="2"/>
      <c r="L498" s="2"/>
      <c r="M498" s="2"/>
      <c r="N498" s="2"/>
      <c r="AD498" s="2"/>
      <c r="AE498" s="2"/>
      <c r="BA498" s="2"/>
      <c r="BD498" s="2"/>
      <c r="BF498" s="2"/>
      <c r="BH498" s="2"/>
      <c r="BI498" s="2"/>
      <c r="BJ498" s="2"/>
    </row>
    <row r="499" ht="14.25" customHeight="1">
      <c r="E499" s="2"/>
      <c r="K499" s="2"/>
      <c r="L499" s="2"/>
      <c r="M499" s="2"/>
      <c r="N499" s="2"/>
      <c r="AD499" s="2"/>
      <c r="AE499" s="2"/>
      <c r="BA499" s="2"/>
      <c r="BD499" s="2"/>
      <c r="BF499" s="2"/>
      <c r="BH499" s="2"/>
      <c r="BI499" s="2"/>
      <c r="BJ499" s="2"/>
    </row>
    <row r="500" ht="14.25" customHeight="1">
      <c r="E500" s="2"/>
      <c r="K500" s="2"/>
      <c r="L500" s="2"/>
      <c r="M500" s="2"/>
      <c r="N500" s="2"/>
      <c r="AD500" s="2"/>
      <c r="AE500" s="2"/>
      <c r="BA500" s="2"/>
      <c r="BD500" s="2"/>
      <c r="BF500" s="2"/>
      <c r="BH500" s="2"/>
      <c r="BI500" s="2"/>
      <c r="BJ500" s="2"/>
    </row>
    <row r="501" ht="14.25" customHeight="1">
      <c r="E501" s="2"/>
      <c r="K501" s="2"/>
      <c r="L501" s="2"/>
      <c r="M501" s="2"/>
      <c r="N501" s="2"/>
      <c r="AD501" s="2"/>
      <c r="AE501" s="2"/>
      <c r="BA501" s="2"/>
      <c r="BD501" s="2"/>
      <c r="BF501" s="2"/>
      <c r="BH501" s="2"/>
      <c r="BI501" s="2"/>
      <c r="BJ501" s="2"/>
    </row>
    <row r="502" ht="14.25" customHeight="1">
      <c r="E502" s="2"/>
      <c r="K502" s="2"/>
      <c r="L502" s="2"/>
      <c r="M502" s="2"/>
      <c r="N502" s="2"/>
      <c r="AD502" s="2"/>
      <c r="AE502" s="2"/>
      <c r="BA502" s="2"/>
      <c r="BD502" s="2"/>
      <c r="BF502" s="2"/>
      <c r="BH502" s="2"/>
      <c r="BI502" s="2"/>
      <c r="BJ502" s="2"/>
    </row>
    <row r="503" ht="14.25" customHeight="1">
      <c r="E503" s="2"/>
      <c r="K503" s="2"/>
      <c r="L503" s="2"/>
      <c r="M503" s="2"/>
      <c r="N503" s="2"/>
      <c r="AD503" s="2"/>
      <c r="AE503" s="2"/>
      <c r="BA503" s="2"/>
      <c r="BD503" s="2"/>
      <c r="BF503" s="2"/>
      <c r="BH503" s="2"/>
      <c r="BI503" s="2"/>
      <c r="BJ503" s="2"/>
    </row>
    <row r="504" ht="14.25" customHeight="1">
      <c r="E504" s="2"/>
      <c r="K504" s="2"/>
      <c r="L504" s="2"/>
      <c r="M504" s="2"/>
      <c r="N504" s="2"/>
      <c r="AD504" s="2"/>
      <c r="AE504" s="2"/>
      <c r="BA504" s="2"/>
      <c r="BD504" s="2"/>
      <c r="BF504" s="2"/>
      <c r="BH504" s="2"/>
      <c r="BI504" s="2"/>
      <c r="BJ504" s="2"/>
    </row>
    <row r="505" ht="14.25" customHeight="1">
      <c r="E505" s="2"/>
      <c r="K505" s="2"/>
      <c r="L505" s="2"/>
      <c r="M505" s="2"/>
      <c r="N505" s="2"/>
      <c r="AD505" s="2"/>
      <c r="AE505" s="2"/>
      <c r="BA505" s="2"/>
      <c r="BD505" s="2"/>
      <c r="BF505" s="2"/>
      <c r="BH505" s="2"/>
      <c r="BI505" s="2"/>
      <c r="BJ505" s="2"/>
    </row>
    <row r="506" ht="14.25" customHeight="1">
      <c r="E506" s="2"/>
      <c r="K506" s="2"/>
      <c r="L506" s="2"/>
      <c r="M506" s="2"/>
      <c r="N506" s="2"/>
      <c r="AD506" s="2"/>
      <c r="AE506" s="2"/>
      <c r="BA506" s="2"/>
      <c r="BD506" s="2"/>
      <c r="BF506" s="2"/>
      <c r="BH506" s="2"/>
      <c r="BI506" s="2"/>
      <c r="BJ506" s="2"/>
    </row>
    <row r="507" ht="14.25" customHeight="1">
      <c r="E507" s="2"/>
      <c r="K507" s="2"/>
      <c r="L507" s="2"/>
      <c r="M507" s="2"/>
      <c r="N507" s="2"/>
      <c r="AD507" s="2"/>
      <c r="AE507" s="2"/>
      <c r="BA507" s="2"/>
      <c r="BD507" s="2"/>
      <c r="BF507" s="2"/>
      <c r="BH507" s="2"/>
      <c r="BI507" s="2"/>
      <c r="BJ507" s="2"/>
    </row>
    <row r="508" ht="14.25" customHeight="1">
      <c r="E508" s="2"/>
      <c r="K508" s="2"/>
      <c r="L508" s="2"/>
      <c r="M508" s="2"/>
      <c r="N508" s="2"/>
      <c r="AD508" s="2"/>
      <c r="AE508" s="2"/>
      <c r="BA508" s="2"/>
      <c r="BD508" s="2"/>
      <c r="BF508" s="2"/>
      <c r="BH508" s="2"/>
      <c r="BI508" s="2"/>
      <c r="BJ508" s="2"/>
    </row>
    <row r="509" ht="14.25" customHeight="1">
      <c r="E509" s="2"/>
      <c r="K509" s="2"/>
      <c r="L509" s="2"/>
      <c r="M509" s="2"/>
      <c r="N509" s="2"/>
      <c r="AD509" s="2"/>
      <c r="AE509" s="2"/>
      <c r="BA509" s="2"/>
      <c r="BD509" s="2"/>
      <c r="BF509" s="2"/>
      <c r="BH509" s="2"/>
      <c r="BI509" s="2"/>
      <c r="BJ509" s="2"/>
    </row>
    <row r="510" ht="14.25" customHeight="1">
      <c r="E510" s="2"/>
      <c r="K510" s="2"/>
      <c r="L510" s="2"/>
      <c r="M510" s="2"/>
      <c r="N510" s="2"/>
      <c r="AD510" s="2"/>
      <c r="AE510" s="2"/>
      <c r="BA510" s="2"/>
      <c r="BD510" s="2"/>
      <c r="BF510" s="2"/>
      <c r="BH510" s="2"/>
      <c r="BI510" s="2"/>
      <c r="BJ510" s="2"/>
    </row>
    <row r="511" ht="14.25" customHeight="1">
      <c r="E511" s="2"/>
      <c r="K511" s="2"/>
      <c r="L511" s="2"/>
      <c r="M511" s="2"/>
      <c r="N511" s="2"/>
      <c r="AD511" s="2"/>
      <c r="AE511" s="2"/>
      <c r="BA511" s="2"/>
      <c r="BD511" s="2"/>
      <c r="BF511" s="2"/>
      <c r="BH511" s="2"/>
      <c r="BI511" s="2"/>
      <c r="BJ511" s="2"/>
    </row>
    <row r="512" ht="14.25" customHeight="1">
      <c r="E512" s="2"/>
      <c r="K512" s="2"/>
      <c r="L512" s="2"/>
      <c r="M512" s="2"/>
      <c r="N512" s="2"/>
      <c r="AD512" s="2"/>
      <c r="AE512" s="2"/>
      <c r="BA512" s="2"/>
      <c r="BD512" s="2"/>
      <c r="BF512" s="2"/>
      <c r="BH512" s="2"/>
      <c r="BI512" s="2"/>
      <c r="BJ512" s="2"/>
    </row>
    <row r="513" ht="14.25" customHeight="1">
      <c r="E513" s="2"/>
      <c r="K513" s="2"/>
      <c r="L513" s="2"/>
      <c r="M513" s="2"/>
      <c r="N513" s="2"/>
      <c r="AD513" s="2"/>
      <c r="AE513" s="2"/>
      <c r="BA513" s="2"/>
      <c r="BD513" s="2"/>
      <c r="BF513" s="2"/>
      <c r="BH513" s="2"/>
      <c r="BI513" s="2"/>
      <c r="BJ513" s="2"/>
    </row>
    <row r="514" ht="14.25" customHeight="1">
      <c r="E514" s="2"/>
      <c r="K514" s="2"/>
      <c r="L514" s="2"/>
      <c r="M514" s="2"/>
      <c r="N514" s="2"/>
      <c r="AD514" s="2"/>
      <c r="AE514" s="2"/>
      <c r="BA514" s="2"/>
      <c r="BD514" s="2"/>
      <c r="BF514" s="2"/>
      <c r="BH514" s="2"/>
      <c r="BI514" s="2"/>
      <c r="BJ514" s="2"/>
    </row>
    <row r="515" ht="14.25" customHeight="1">
      <c r="E515" s="2"/>
      <c r="K515" s="2"/>
      <c r="L515" s="2"/>
      <c r="M515" s="2"/>
      <c r="N515" s="2"/>
      <c r="AD515" s="2"/>
      <c r="AE515" s="2"/>
      <c r="BA515" s="2"/>
      <c r="BD515" s="2"/>
      <c r="BF515" s="2"/>
      <c r="BH515" s="2"/>
      <c r="BI515" s="2"/>
      <c r="BJ515" s="2"/>
    </row>
    <row r="516" ht="14.25" customHeight="1">
      <c r="E516" s="2"/>
      <c r="K516" s="2"/>
      <c r="L516" s="2"/>
      <c r="M516" s="2"/>
      <c r="N516" s="2"/>
      <c r="AD516" s="2"/>
      <c r="AE516" s="2"/>
      <c r="BA516" s="2"/>
      <c r="BD516" s="2"/>
      <c r="BF516" s="2"/>
      <c r="BH516" s="2"/>
      <c r="BI516" s="2"/>
      <c r="BJ516" s="2"/>
    </row>
    <row r="517" ht="14.25" customHeight="1">
      <c r="E517" s="2"/>
      <c r="K517" s="2"/>
      <c r="L517" s="2"/>
      <c r="M517" s="2"/>
      <c r="N517" s="2"/>
      <c r="AD517" s="2"/>
      <c r="AE517" s="2"/>
      <c r="BA517" s="2"/>
      <c r="BD517" s="2"/>
      <c r="BF517" s="2"/>
      <c r="BH517" s="2"/>
      <c r="BI517" s="2"/>
      <c r="BJ517" s="2"/>
    </row>
    <row r="518" ht="14.25" customHeight="1">
      <c r="E518" s="2"/>
      <c r="K518" s="2"/>
      <c r="L518" s="2"/>
      <c r="M518" s="2"/>
      <c r="N518" s="2"/>
      <c r="AD518" s="2"/>
      <c r="AE518" s="2"/>
      <c r="BA518" s="2"/>
      <c r="BD518" s="2"/>
      <c r="BF518" s="2"/>
      <c r="BH518" s="2"/>
      <c r="BI518" s="2"/>
      <c r="BJ518" s="2"/>
    </row>
    <row r="519" ht="14.25" customHeight="1">
      <c r="E519" s="2"/>
      <c r="K519" s="2"/>
      <c r="L519" s="2"/>
      <c r="M519" s="2"/>
      <c r="N519" s="2"/>
      <c r="AD519" s="2"/>
      <c r="AE519" s="2"/>
      <c r="BA519" s="2"/>
      <c r="BD519" s="2"/>
      <c r="BF519" s="2"/>
      <c r="BH519" s="2"/>
      <c r="BI519" s="2"/>
      <c r="BJ519" s="2"/>
    </row>
    <row r="520" ht="14.25" customHeight="1">
      <c r="E520" s="2"/>
      <c r="K520" s="2"/>
      <c r="L520" s="2"/>
      <c r="M520" s="2"/>
      <c r="N520" s="2"/>
      <c r="AD520" s="2"/>
      <c r="AE520" s="2"/>
      <c r="BA520" s="2"/>
      <c r="BD520" s="2"/>
      <c r="BF520" s="2"/>
      <c r="BH520" s="2"/>
      <c r="BI520" s="2"/>
      <c r="BJ520" s="2"/>
    </row>
    <row r="521" ht="14.25" customHeight="1">
      <c r="E521" s="2"/>
      <c r="K521" s="2"/>
      <c r="L521" s="2"/>
      <c r="M521" s="2"/>
      <c r="N521" s="2"/>
      <c r="AD521" s="2"/>
      <c r="AE521" s="2"/>
      <c r="BA521" s="2"/>
      <c r="BD521" s="2"/>
      <c r="BF521" s="2"/>
      <c r="BH521" s="2"/>
      <c r="BI521" s="2"/>
      <c r="BJ521" s="2"/>
    </row>
    <row r="522" ht="14.25" customHeight="1">
      <c r="E522" s="2"/>
      <c r="K522" s="2"/>
      <c r="L522" s="2"/>
      <c r="M522" s="2"/>
      <c r="N522" s="2"/>
      <c r="AD522" s="2"/>
      <c r="AE522" s="2"/>
      <c r="BA522" s="2"/>
      <c r="BD522" s="2"/>
      <c r="BF522" s="2"/>
      <c r="BH522" s="2"/>
      <c r="BI522" s="2"/>
      <c r="BJ522" s="2"/>
    </row>
    <row r="523" ht="14.25" customHeight="1">
      <c r="E523" s="2"/>
      <c r="K523" s="2"/>
      <c r="L523" s="2"/>
      <c r="M523" s="2"/>
      <c r="N523" s="2"/>
      <c r="AD523" s="2"/>
      <c r="AE523" s="2"/>
      <c r="BA523" s="2"/>
      <c r="BD523" s="2"/>
      <c r="BF523" s="2"/>
      <c r="BH523" s="2"/>
      <c r="BI523" s="2"/>
      <c r="BJ523" s="2"/>
    </row>
    <row r="524" ht="14.25" customHeight="1">
      <c r="E524" s="2"/>
      <c r="K524" s="2"/>
      <c r="L524" s="2"/>
      <c r="M524" s="2"/>
      <c r="N524" s="2"/>
      <c r="AD524" s="2"/>
      <c r="AE524" s="2"/>
      <c r="BA524" s="2"/>
      <c r="BD524" s="2"/>
      <c r="BF524" s="2"/>
      <c r="BH524" s="2"/>
      <c r="BI524" s="2"/>
      <c r="BJ524" s="2"/>
    </row>
    <row r="525" ht="14.25" customHeight="1">
      <c r="E525" s="2"/>
      <c r="K525" s="2"/>
      <c r="L525" s="2"/>
      <c r="M525" s="2"/>
      <c r="N525" s="2"/>
      <c r="AD525" s="2"/>
      <c r="AE525" s="2"/>
      <c r="BA525" s="2"/>
      <c r="BD525" s="2"/>
      <c r="BF525" s="2"/>
      <c r="BH525" s="2"/>
      <c r="BI525" s="2"/>
      <c r="BJ525" s="2"/>
    </row>
    <row r="526" ht="14.25" customHeight="1">
      <c r="E526" s="2"/>
      <c r="K526" s="2"/>
      <c r="L526" s="2"/>
      <c r="M526" s="2"/>
      <c r="N526" s="2"/>
      <c r="AD526" s="2"/>
      <c r="AE526" s="2"/>
      <c r="BA526" s="2"/>
      <c r="BD526" s="2"/>
      <c r="BF526" s="2"/>
      <c r="BH526" s="2"/>
      <c r="BI526" s="2"/>
      <c r="BJ526" s="2"/>
    </row>
    <row r="527" ht="14.25" customHeight="1">
      <c r="E527" s="2"/>
      <c r="K527" s="2"/>
      <c r="L527" s="2"/>
      <c r="M527" s="2"/>
      <c r="N527" s="2"/>
      <c r="AD527" s="2"/>
      <c r="AE527" s="2"/>
      <c r="BA527" s="2"/>
      <c r="BD527" s="2"/>
      <c r="BF527" s="2"/>
      <c r="BH527" s="2"/>
      <c r="BI527" s="2"/>
      <c r="BJ527" s="2"/>
    </row>
    <row r="528" ht="14.25" customHeight="1">
      <c r="E528" s="2"/>
      <c r="K528" s="2"/>
      <c r="L528" s="2"/>
      <c r="M528" s="2"/>
      <c r="N528" s="2"/>
      <c r="AD528" s="2"/>
      <c r="AE528" s="2"/>
      <c r="BA528" s="2"/>
      <c r="BD528" s="2"/>
      <c r="BF528" s="2"/>
      <c r="BH528" s="2"/>
      <c r="BI528" s="2"/>
      <c r="BJ528" s="2"/>
    </row>
    <row r="529" ht="14.25" customHeight="1">
      <c r="E529" s="2"/>
      <c r="K529" s="2"/>
      <c r="L529" s="2"/>
      <c r="M529" s="2"/>
      <c r="N529" s="2"/>
      <c r="AD529" s="2"/>
      <c r="AE529" s="2"/>
      <c r="BA529" s="2"/>
      <c r="BD529" s="2"/>
      <c r="BF529" s="2"/>
      <c r="BH529" s="2"/>
      <c r="BI529" s="2"/>
      <c r="BJ529" s="2"/>
    </row>
    <row r="530" ht="14.25" customHeight="1">
      <c r="E530" s="2"/>
      <c r="K530" s="2"/>
      <c r="L530" s="2"/>
      <c r="M530" s="2"/>
      <c r="N530" s="2"/>
      <c r="AD530" s="2"/>
      <c r="AE530" s="2"/>
      <c r="BA530" s="2"/>
      <c r="BD530" s="2"/>
      <c r="BF530" s="2"/>
      <c r="BH530" s="2"/>
      <c r="BI530" s="2"/>
      <c r="BJ530" s="2"/>
    </row>
    <row r="531" ht="14.25" customHeight="1">
      <c r="E531" s="2"/>
      <c r="K531" s="2"/>
      <c r="L531" s="2"/>
      <c r="M531" s="2"/>
      <c r="N531" s="2"/>
      <c r="AD531" s="2"/>
      <c r="AE531" s="2"/>
      <c r="BA531" s="2"/>
      <c r="BD531" s="2"/>
      <c r="BF531" s="2"/>
      <c r="BH531" s="2"/>
      <c r="BI531" s="2"/>
      <c r="BJ531" s="2"/>
    </row>
    <row r="532" ht="14.25" customHeight="1">
      <c r="E532" s="2"/>
      <c r="K532" s="2"/>
      <c r="L532" s="2"/>
      <c r="M532" s="2"/>
      <c r="N532" s="2"/>
      <c r="AD532" s="2"/>
      <c r="AE532" s="2"/>
      <c r="BA532" s="2"/>
      <c r="BD532" s="2"/>
      <c r="BF532" s="2"/>
      <c r="BH532" s="2"/>
      <c r="BI532" s="2"/>
      <c r="BJ532" s="2"/>
    </row>
    <row r="533" ht="14.25" customHeight="1">
      <c r="E533" s="2"/>
      <c r="K533" s="2"/>
      <c r="L533" s="2"/>
      <c r="M533" s="2"/>
      <c r="N533" s="2"/>
      <c r="AD533" s="2"/>
      <c r="AE533" s="2"/>
      <c r="BA533" s="2"/>
      <c r="BD533" s="2"/>
      <c r="BF533" s="2"/>
      <c r="BH533" s="2"/>
      <c r="BI533" s="2"/>
      <c r="BJ533" s="2"/>
    </row>
    <row r="534" ht="14.25" customHeight="1">
      <c r="E534" s="2"/>
      <c r="K534" s="2"/>
      <c r="L534" s="2"/>
      <c r="M534" s="2"/>
      <c r="N534" s="2"/>
      <c r="AD534" s="2"/>
      <c r="AE534" s="2"/>
      <c r="BA534" s="2"/>
      <c r="BD534" s="2"/>
      <c r="BF534" s="2"/>
      <c r="BH534" s="2"/>
      <c r="BI534" s="2"/>
      <c r="BJ534" s="2"/>
    </row>
    <row r="535" ht="14.25" customHeight="1">
      <c r="E535" s="2"/>
      <c r="K535" s="2"/>
      <c r="L535" s="2"/>
      <c r="M535" s="2"/>
      <c r="N535" s="2"/>
      <c r="AD535" s="2"/>
      <c r="AE535" s="2"/>
      <c r="BA535" s="2"/>
      <c r="BD535" s="2"/>
      <c r="BF535" s="2"/>
      <c r="BH535" s="2"/>
      <c r="BI535" s="2"/>
      <c r="BJ535" s="2"/>
    </row>
    <row r="536" ht="14.25" customHeight="1">
      <c r="E536" s="2"/>
      <c r="K536" s="2"/>
      <c r="L536" s="2"/>
      <c r="M536" s="2"/>
      <c r="N536" s="2"/>
      <c r="AD536" s="2"/>
      <c r="AE536" s="2"/>
      <c r="BA536" s="2"/>
      <c r="BD536" s="2"/>
      <c r="BF536" s="2"/>
      <c r="BH536" s="2"/>
      <c r="BI536" s="2"/>
      <c r="BJ536" s="2"/>
    </row>
    <row r="537" ht="14.25" customHeight="1">
      <c r="E537" s="2"/>
      <c r="K537" s="2"/>
      <c r="L537" s="2"/>
      <c r="M537" s="2"/>
      <c r="N537" s="2"/>
      <c r="AD537" s="2"/>
      <c r="AE537" s="2"/>
      <c r="BA537" s="2"/>
      <c r="BD537" s="2"/>
      <c r="BF537" s="2"/>
      <c r="BH537" s="2"/>
      <c r="BI537" s="2"/>
      <c r="BJ537" s="2"/>
    </row>
    <row r="538" ht="14.25" customHeight="1">
      <c r="E538" s="2"/>
      <c r="K538" s="2"/>
      <c r="L538" s="2"/>
      <c r="M538" s="2"/>
      <c r="N538" s="2"/>
      <c r="AD538" s="2"/>
      <c r="AE538" s="2"/>
      <c r="BA538" s="2"/>
      <c r="BD538" s="2"/>
      <c r="BF538" s="2"/>
      <c r="BH538" s="2"/>
      <c r="BI538" s="2"/>
      <c r="BJ538" s="2"/>
    </row>
    <row r="539" ht="14.25" customHeight="1">
      <c r="E539" s="2"/>
      <c r="K539" s="2"/>
      <c r="L539" s="2"/>
      <c r="M539" s="2"/>
      <c r="N539" s="2"/>
      <c r="AD539" s="2"/>
      <c r="AE539" s="2"/>
      <c r="BA539" s="2"/>
      <c r="BD539" s="2"/>
      <c r="BF539" s="2"/>
      <c r="BH539" s="2"/>
      <c r="BI539" s="2"/>
      <c r="BJ539" s="2"/>
    </row>
    <row r="540" ht="14.25" customHeight="1">
      <c r="E540" s="2"/>
      <c r="K540" s="2"/>
      <c r="L540" s="2"/>
      <c r="M540" s="2"/>
      <c r="N540" s="2"/>
      <c r="AD540" s="2"/>
      <c r="AE540" s="2"/>
      <c r="BA540" s="2"/>
      <c r="BD540" s="2"/>
      <c r="BF540" s="2"/>
      <c r="BH540" s="2"/>
      <c r="BI540" s="2"/>
      <c r="BJ540" s="2"/>
    </row>
    <row r="541" ht="14.25" customHeight="1">
      <c r="E541" s="2"/>
      <c r="K541" s="2"/>
      <c r="L541" s="2"/>
      <c r="M541" s="2"/>
      <c r="N541" s="2"/>
      <c r="AD541" s="2"/>
      <c r="AE541" s="2"/>
      <c r="BA541" s="2"/>
      <c r="BD541" s="2"/>
      <c r="BF541" s="2"/>
      <c r="BH541" s="2"/>
      <c r="BI541" s="2"/>
      <c r="BJ541" s="2"/>
    </row>
    <row r="542" ht="14.25" customHeight="1">
      <c r="E542" s="2"/>
      <c r="K542" s="2"/>
      <c r="L542" s="2"/>
      <c r="M542" s="2"/>
      <c r="N542" s="2"/>
      <c r="AD542" s="2"/>
      <c r="AE542" s="2"/>
      <c r="BA542" s="2"/>
      <c r="BD542" s="2"/>
      <c r="BF542" s="2"/>
      <c r="BH542" s="2"/>
      <c r="BI542" s="2"/>
      <c r="BJ542" s="2"/>
    </row>
    <row r="543" ht="14.25" customHeight="1">
      <c r="E543" s="2"/>
      <c r="K543" s="2"/>
      <c r="L543" s="2"/>
      <c r="M543" s="2"/>
      <c r="N543" s="2"/>
      <c r="AD543" s="2"/>
      <c r="AE543" s="2"/>
      <c r="BA543" s="2"/>
      <c r="BD543" s="2"/>
      <c r="BF543" s="2"/>
      <c r="BH543" s="2"/>
      <c r="BI543" s="2"/>
      <c r="BJ543" s="2"/>
    </row>
    <row r="544" ht="14.25" customHeight="1">
      <c r="E544" s="2"/>
      <c r="K544" s="2"/>
      <c r="L544" s="2"/>
      <c r="M544" s="2"/>
      <c r="N544" s="2"/>
      <c r="AD544" s="2"/>
      <c r="AE544" s="2"/>
      <c r="BA544" s="2"/>
      <c r="BD544" s="2"/>
      <c r="BF544" s="2"/>
      <c r="BH544" s="2"/>
      <c r="BI544" s="2"/>
      <c r="BJ544" s="2"/>
    </row>
    <row r="545" ht="14.25" customHeight="1">
      <c r="E545" s="2"/>
      <c r="K545" s="2"/>
      <c r="L545" s="2"/>
      <c r="M545" s="2"/>
      <c r="N545" s="2"/>
      <c r="AD545" s="2"/>
      <c r="AE545" s="2"/>
      <c r="BA545" s="2"/>
      <c r="BD545" s="2"/>
      <c r="BF545" s="2"/>
      <c r="BH545" s="2"/>
      <c r="BI545" s="2"/>
      <c r="BJ545" s="2"/>
    </row>
    <row r="546" ht="14.25" customHeight="1">
      <c r="E546" s="2"/>
      <c r="K546" s="2"/>
      <c r="L546" s="2"/>
      <c r="M546" s="2"/>
      <c r="N546" s="2"/>
      <c r="AD546" s="2"/>
      <c r="AE546" s="2"/>
      <c r="BA546" s="2"/>
      <c r="BD546" s="2"/>
      <c r="BF546" s="2"/>
      <c r="BH546" s="2"/>
      <c r="BI546" s="2"/>
      <c r="BJ546" s="2"/>
    </row>
    <row r="547" ht="14.25" customHeight="1">
      <c r="E547" s="2"/>
      <c r="K547" s="2"/>
      <c r="L547" s="2"/>
      <c r="M547" s="2"/>
      <c r="N547" s="2"/>
      <c r="AD547" s="2"/>
      <c r="AE547" s="2"/>
      <c r="BA547" s="2"/>
      <c r="BD547" s="2"/>
      <c r="BF547" s="2"/>
      <c r="BH547" s="2"/>
      <c r="BI547" s="2"/>
      <c r="BJ547" s="2"/>
    </row>
    <row r="548" ht="14.25" customHeight="1">
      <c r="E548" s="2"/>
      <c r="K548" s="2"/>
      <c r="L548" s="2"/>
      <c r="M548" s="2"/>
      <c r="N548" s="2"/>
      <c r="AD548" s="2"/>
      <c r="AE548" s="2"/>
      <c r="BA548" s="2"/>
      <c r="BD548" s="2"/>
      <c r="BF548" s="2"/>
      <c r="BH548" s="2"/>
      <c r="BI548" s="2"/>
      <c r="BJ548" s="2"/>
    </row>
    <row r="549" ht="14.25" customHeight="1">
      <c r="E549" s="2"/>
      <c r="K549" s="2"/>
      <c r="L549" s="2"/>
      <c r="M549" s="2"/>
      <c r="N549" s="2"/>
      <c r="AD549" s="2"/>
      <c r="AE549" s="2"/>
      <c r="BA549" s="2"/>
      <c r="BD549" s="2"/>
      <c r="BF549" s="2"/>
      <c r="BH549" s="2"/>
      <c r="BI549" s="2"/>
      <c r="BJ549" s="2"/>
    </row>
    <row r="550" ht="14.25" customHeight="1">
      <c r="E550" s="2"/>
      <c r="K550" s="2"/>
      <c r="L550" s="2"/>
      <c r="M550" s="2"/>
      <c r="N550" s="2"/>
      <c r="AD550" s="2"/>
      <c r="AE550" s="2"/>
      <c r="BA550" s="2"/>
      <c r="BD550" s="2"/>
      <c r="BF550" s="2"/>
      <c r="BH550" s="2"/>
      <c r="BI550" s="2"/>
      <c r="BJ550" s="2"/>
    </row>
    <row r="551" ht="14.25" customHeight="1">
      <c r="E551" s="2"/>
      <c r="K551" s="2"/>
      <c r="L551" s="2"/>
      <c r="M551" s="2"/>
      <c r="N551" s="2"/>
      <c r="AD551" s="2"/>
      <c r="AE551" s="2"/>
      <c r="BA551" s="2"/>
      <c r="BD551" s="2"/>
      <c r="BF551" s="2"/>
      <c r="BH551" s="2"/>
      <c r="BI551" s="2"/>
      <c r="BJ551" s="2"/>
    </row>
    <row r="552" ht="14.25" customHeight="1">
      <c r="E552" s="2"/>
      <c r="K552" s="2"/>
      <c r="L552" s="2"/>
      <c r="M552" s="2"/>
      <c r="N552" s="2"/>
      <c r="AD552" s="2"/>
      <c r="AE552" s="2"/>
      <c r="BA552" s="2"/>
      <c r="BD552" s="2"/>
      <c r="BF552" s="2"/>
      <c r="BH552" s="2"/>
      <c r="BI552" s="2"/>
      <c r="BJ552" s="2"/>
    </row>
    <row r="553" ht="14.25" customHeight="1">
      <c r="E553" s="2"/>
      <c r="K553" s="2"/>
      <c r="L553" s="2"/>
      <c r="M553" s="2"/>
      <c r="N553" s="2"/>
      <c r="AD553" s="2"/>
      <c r="AE553" s="2"/>
      <c r="BA553" s="2"/>
      <c r="BD553" s="2"/>
      <c r="BF553" s="2"/>
      <c r="BH553" s="2"/>
      <c r="BI553" s="2"/>
      <c r="BJ553" s="2"/>
    </row>
    <row r="554" ht="14.25" customHeight="1">
      <c r="E554" s="2"/>
      <c r="K554" s="2"/>
      <c r="L554" s="2"/>
      <c r="M554" s="2"/>
      <c r="N554" s="2"/>
      <c r="AD554" s="2"/>
      <c r="AE554" s="2"/>
      <c r="BA554" s="2"/>
      <c r="BD554" s="2"/>
      <c r="BF554" s="2"/>
      <c r="BH554" s="2"/>
      <c r="BI554" s="2"/>
      <c r="BJ554" s="2"/>
    </row>
    <row r="555" ht="14.25" customHeight="1">
      <c r="E555" s="2"/>
      <c r="K555" s="2"/>
      <c r="L555" s="2"/>
      <c r="M555" s="2"/>
      <c r="N555" s="2"/>
      <c r="AD555" s="2"/>
      <c r="AE555" s="2"/>
      <c r="BA555" s="2"/>
      <c r="BD555" s="2"/>
      <c r="BF555" s="2"/>
      <c r="BH555" s="2"/>
      <c r="BI555" s="2"/>
      <c r="BJ555" s="2"/>
    </row>
    <row r="556" ht="14.25" customHeight="1">
      <c r="E556" s="2"/>
      <c r="K556" s="2"/>
      <c r="L556" s="2"/>
      <c r="M556" s="2"/>
      <c r="N556" s="2"/>
      <c r="AD556" s="2"/>
      <c r="AE556" s="2"/>
      <c r="BA556" s="2"/>
      <c r="BD556" s="2"/>
      <c r="BF556" s="2"/>
      <c r="BH556" s="2"/>
      <c r="BI556" s="2"/>
      <c r="BJ556" s="2"/>
    </row>
    <row r="557" ht="14.25" customHeight="1">
      <c r="E557" s="2"/>
      <c r="K557" s="2"/>
      <c r="L557" s="2"/>
      <c r="M557" s="2"/>
      <c r="N557" s="2"/>
      <c r="AD557" s="2"/>
      <c r="AE557" s="2"/>
      <c r="BA557" s="2"/>
      <c r="BD557" s="2"/>
      <c r="BF557" s="2"/>
      <c r="BH557" s="2"/>
      <c r="BI557" s="2"/>
      <c r="BJ557" s="2"/>
    </row>
    <row r="558" ht="14.25" customHeight="1">
      <c r="E558" s="2"/>
      <c r="K558" s="2"/>
      <c r="L558" s="2"/>
      <c r="M558" s="2"/>
      <c r="N558" s="2"/>
      <c r="AD558" s="2"/>
      <c r="AE558" s="2"/>
      <c r="BA558" s="2"/>
      <c r="BD558" s="2"/>
      <c r="BF558" s="2"/>
      <c r="BH558" s="2"/>
      <c r="BI558" s="2"/>
      <c r="BJ558" s="2"/>
    </row>
    <row r="559" ht="14.25" customHeight="1">
      <c r="E559" s="2"/>
      <c r="K559" s="2"/>
      <c r="L559" s="2"/>
      <c r="M559" s="2"/>
      <c r="N559" s="2"/>
      <c r="AD559" s="2"/>
      <c r="AE559" s="2"/>
      <c r="BA559" s="2"/>
      <c r="BD559" s="2"/>
      <c r="BF559" s="2"/>
      <c r="BH559" s="2"/>
      <c r="BI559" s="2"/>
      <c r="BJ559" s="2"/>
    </row>
    <row r="560" ht="14.25" customHeight="1">
      <c r="E560" s="2"/>
      <c r="K560" s="2"/>
      <c r="L560" s="2"/>
      <c r="M560" s="2"/>
      <c r="N560" s="2"/>
      <c r="AD560" s="2"/>
      <c r="AE560" s="2"/>
      <c r="BA560" s="2"/>
      <c r="BD560" s="2"/>
      <c r="BF560" s="2"/>
      <c r="BH560" s="2"/>
      <c r="BI560" s="2"/>
      <c r="BJ560" s="2"/>
    </row>
    <row r="561" ht="14.25" customHeight="1">
      <c r="E561" s="2"/>
      <c r="K561" s="2"/>
      <c r="L561" s="2"/>
      <c r="M561" s="2"/>
      <c r="N561" s="2"/>
      <c r="AD561" s="2"/>
      <c r="AE561" s="2"/>
      <c r="BA561" s="2"/>
      <c r="BD561" s="2"/>
      <c r="BF561" s="2"/>
      <c r="BH561" s="2"/>
      <c r="BI561" s="2"/>
      <c r="BJ561" s="2"/>
    </row>
    <row r="562" ht="14.25" customHeight="1">
      <c r="E562" s="2"/>
      <c r="K562" s="2"/>
      <c r="L562" s="2"/>
      <c r="M562" s="2"/>
      <c r="N562" s="2"/>
      <c r="AD562" s="2"/>
      <c r="AE562" s="2"/>
      <c r="BA562" s="2"/>
      <c r="BD562" s="2"/>
      <c r="BF562" s="2"/>
      <c r="BH562" s="2"/>
      <c r="BI562" s="2"/>
      <c r="BJ562" s="2"/>
    </row>
    <row r="563" ht="14.25" customHeight="1">
      <c r="E563" s="2"/>
      <c r="K563" s="2"/>
      <c r="L563" s="2"/>
      <c r="M563" s="2"/>
      <c r="N563" s="2"/>
      <c r="AD563" s="2"/>
      <c r="AE563" s="2"/>
      <c r="BA563" s="2"/>
      <c r="BD563" s="2"/>
      <c r="BF563" s="2"/>
      <c r="BH563" s="2"/>
      <c r="BI563" s="2"/>
      <c r="BJ563" s="2"/>
    </row>
    <row r="564" ht="14.25" customHeight="1">
      <c r="E564" s="2"/>
      <c r="K564" s="2"/>
      <c r="L564" s="2"/>
      <c r="M564" s="2"/>
      <c r="N564" s="2"/>
      <c r="AD564" s="2"/>
      <c r="AE564" s="2"/>
      <c r="BA564" s="2"/>
      <c r="BD564" s="2"/>
      <c r="BF564" s="2"/>
      <c r="BH564" s="2"/>
      <c r="BI564" s="2"/>
      <c r="BJ564" s="2"/>
    </row>
    <row r="565" ht="14.25" customHeight="1">
      <c r="E565" s="2"/>
      <c r="K565" s="2"/>
      <c r="L565" s="2"/>
      <c r="M565" s="2"/>
      <c r="N565" s="2"/>
      <c r="AD565" s="2"/>
      <c r="AE565" s="2"/>
      <c r="BA565" s="2"/>
      <c r="BD565" s="2"/>
      <c r="BF565" s="2"/>
      <c r="BH565" s="2"/>
      <c r="BI565" s="2"/>
      <c r="BJ565" s="2"/>
    </row>
    <row r="566" ht="14.25" customHeight="1">
      <c r="E566" s="2"/>
      <c r="K566" s="2"/>
      <c r="L566" s="2"/>
      <c r="M566" s="2"/>
      <c r="N566" s="2"/>
      <c r="AD566" s="2"/>
      <c r="AE566" s="2"/>
      <c r="BA566" s="2"/>
      <c r="BD566" s="2"/>
      <c r="BF566" s="2"/>
      <c r="BH566" s="2"/>
      <c r="BI566" s="2"/>
      <c r="BJ566" s="2"/>
    </row>
    <row r="567" ht="14.25" customHeight="1">
      <c r="E567" s="2"/>
      <c r="K567" s="2"/>
      <c r="L567" s="2"/>
      <c r="M567" s="2"/>
      <c r="N567" s="2"/>
      <c r="AD567" s="2"/>
      <c r="AE567" s="2"/>
      <c r="BA567" s="2"/>
      <c r="BD567" s="2"/>
      <c r="BF567" s="2"/>
      <c r="BH567" s="2"/>
      <c r="BI567" s="2"/>
      <c r="BJ567" s="2"/>
    </row>
    <row r="568" ht="14.25" customHeight="1">
      <c r="E568" s="2"/>
      <c r="K568" s="2"/>
      <c r="L568" s="2"/>
      <c r="M568" s="2"/>
      <c r="N568" s="2"/>
      <c r="AD568" s="2"/>
      <c r="AE568" s="2"/>
      <c r="BA568" s="2"/>
      <c r="BD568" s="2"/>
      <c r="BF568" s="2"/>
      <c r="BH568" s="2"/>
      <c r="BI568" s="2"/>
      <c r="BJ568" s="2"/>
    </row>
    <row r="569" ht="14.25" customHeight="1">
      <c r="E569" s="2"/>
      <c r="K569" s="2"/>
      <c r="L569" s="2"/>
      <c r="M569" s="2"/>
      <c r="N569" s="2"/>
      <c r="AD569" s="2"/>
      <c r="AE569" s="2"/>
      <c r="BA569" s="2"/>
      <c r="BD569" s="2"/>
      <c r="BF569" s="2"/>
      <c r="BH569" s="2"/>
      <c r="BI569" s="2"/>
      <c r="BJ569" s="2"/>
    </row>
    <row r="570" ht="14.25" customHeight="1">
      <c r="E570" s="2"/>
      <c r="K570" s="2"/>
      <c r="L570" s="2"/>
      <c r="M570" s="2"/>
      <c r="N570" s="2"/>
      <c r="AD570" s="2"/>
      <c r="AE570" s="2"/>
      <c r="BA570" s="2"/>
      <c r="BD570" s="2"/>
      <c r="BF570" s="2"/>
      <c r="BH570" s="2"/>
      <c r="BI570" s="2"/>
      <c r="BJ570" s="2"/>
    </row>
    <row r="571" ht="14.25" customHeight="1">
      <c r="E571" s="2"/>
      <c r="K571" s="2"/>
      <c r="L571" s="2"/>
      <c r="M571" s="2"/>
      <c r="N571" s="2"/>
      <c r="AD571" s="2"/>
      <c r="AE571" s="2"/>
      <c r="BA571" s="2"/>
      <c r="BD571" s="2"/>
      <c r="BF571" s="2"/>
      <c r="BH571" s="2"/>
      <c r="BI571" s="2"/>
      <c r="BJ571" s="2"/>
    </row>
    <row r="572" ht="14.25" customHeight="1">
      <c r="E572" s="2"/>
      <c r="K572" s="2"/>
      <c r="L572" s="2"/>
      <c r="M572" s="2"/>
      <c r="N572" s="2"/>
      <c r="AD572" s="2"/>
      <c r="AE572" s="2"/>
      <c r="BA572" s="2"/>
      <c r="BD572" s="2"/>
      <c r="BF572" s="2"/>
      <c r="BH572" s="2"/>
      <c r="BI572" s="2"/>
      <c r="BJ572" s="2"/>
    </row>
    <row r="573" ht="14.25" customHeight="1">
      <c r="E573" s="2"/>
      <c r="K573" s="2"/>
      <c r="L573" s="2"/>
      <c r="M573" s="2"/>
      <c r="N573" s="2"/>
      <c r="AD573" s="2"/>
      <c r="AE573" s="2"/>
      <c r="BA573" s="2"/>
      <c r="BD573" s="2"/>
      <c r="BF573" s="2"/>
      <c r="BH573" s="2"/>
      <c r="BI573" s="2"/>
      <c r="BJ573" s="2"/>
    </row>
    <row r="574" ht="14.25" customHeight="1">
      <c r="E574" s="2"/>
      <c r="K574" s="2"/>
      <c r="L574" s="2"/>
      <c r="M574" s="2"/>
      <c r="N574" s="2"/>
      <c r="AD574" s="2"/>
      <c r="AE574" s="2"/>
      <c r="BA574" s="2"/>
      <c r="BD574" s="2"/>
      <c r="BF574" s="2"/>
      <c r="BH574" s="2"/>
      <c r="BI574" s="2"/>
      <c r="BJ574" s="2"/>
    </row>
    <row r="575" ht="14.25" customHeight="1">
      <c r="E575" s="2"/>
      <c r="K575" s="2"/>
      <c r="L575" s="2"/>
      <c r="M575" s="2"/>
      <c r="N575" s="2"/>
      <c r="AD575" s="2"/>
      <c r="AE575" s="2"/>
      <c r="BA575" s="2"/>
      <c r="BD575" s="2"/>
      <c r="BF575" s="2"/>
      <c r="BH575" s="2"/>
      <c r="BI575" s="2"/>
      <c r="BJ575" s="2"/>
    </row>
    <row r="576" ht="14.25" customHeight="1">
      <c r="E576" s="2"/>
      <c r="K576" s="2"/>
      <c r="L576" s="2"/>
      <c r="M576" s="2"/>
      <c r="N576" s="2"/>
      <c r="AD576" s="2"/>
      <c r="AE576" s="2"/>
      <c r="BA576" s="2"/>
      <c r="BD576" s="2"/>
      <c r="BF576" s="2"/>
      <c r="BH576" s="2"/>
      <c r="BI576" s="2"/>
      <c r="BJ576" s="2"/>
    </row>
    <row r="577" ht="14.25" customHeight="1">
      <c r="E577" s="2"/>
      <c r="K577" s="2"/>
      <c r="L577" s="2"/>
      <c r="M577" s="2"/>
      <c r="N577" s="2"/>
      <c r="AD577" s="2"/>
      <c r="AE577" s="2"/>
      <c r="BA577" s="2"/>
      <c r="BD577" s="2"/>
      <c r="BF577" s="2"/>
      <c r="BH577" s="2"/>
      <c r="BI577" s="2"/>
      <c r="BJ577" s="2"/>
    </row>
    <row r="578" ht="14.25" customHeight="1">
      <c r="E578" s="2"/>
      <c r="K578" s="2"/>
      <c r="L578" s="2"/>
      <c r="M578" s="2"/>
      <c r="N578" s="2"/>
      <c r="AD578" s="2"/>
      <c r="AE578" s="2"/>
      <c r="BA578" s="2"/>
      <c r="BD578" s="2"/>
      <c r="BF578" s="2"/>
      <c r="BH578" s="2"/>
      <c r="BI578" s="2"/>
      <c r="BJ578" s="2"/>
    </row>
    <row r="579" ht="14.25" customHeight="1">
      <c r="E579" s="2"/>
      <c r="K579" s="2"/>
      <c r="L579" s="2"/>
      <c r="M579" s="2"/>
      <c r="N579" s="2"/>
      <c r="AD579" s="2"/>
      <c r="AE579" s="2"/>
      <c r="BA579" s="2"/>
      <c r="BD579" s="2"/>
      <c r="BF579" s="2"/>
      <c r="BH579" s="2"/>
      <c r="BI579" s="2"/>
      <c r="BJ579" s="2"/>
    </row>
    <row r="580" ht="14.25" customHeight="1">
      <c r="E580" s="2"/>
      <c r="K580" s="2"/>
      <c r="L580" s="2"/>
      <c r="M580" s="2"/>
      <c r="N580" s="2"/>
      <c r="AD580" s="2"/>
      <c r="AE580" s="2"/>
      <c r="BA580" s="2"/>
      <c r="BD580" s="2"/>
      <c r="BF580" s="2"/>
      <c r="BH580" s="2"/>
      <c r="BI580" s="2"/>
      <c r="BJ580" s="2"/>
    </row>
    <row r="581" ht="14.25" customHeight="1">
      <c r="E581" s="2"/>
      <c r="K581" s="2"/>
      <c r="L581" s="2"/>
      <c r="M581" s="2"/>
      <c r="N581" s="2"/>
      <c r="AD581" s="2"/>
      <c r="AE581" s="2"/>
      <c r="BA581" s="2"/>
      <c r="BD581" s="2"/>
      <c r="BF581" s="2"/>
      <c r="BH581" s="2"/>
      <c r="BI581" s="2"/>
      <c r="BJ581" s="2"/>
    </row>
    <row r="582" ht="14.25" customHeight="1">
      <c r="E582" s="2"/>
      <c r="K582" s="2"/>
      <c r="L582" s="2"/>
      <c r="M582" s="2"/>
      <c r="N582" s="2"/>
      <c r="AD582" s="2"/>
      <c r="AE582" s="2"/>
      <c r="BA582" s="2"/>
      <c r="BD582" s="2"/>
      <c r="BF582" s="2"/>
      <c r="BH582" s="2"/>
      <c r="BI582" s="2"/>
      <c r="BJ582" s="2"/>
    </row>
    <row r="583" ht="14.25" customHeight="1">
      <c r="E583" s="2"/>
      <c r="K583" s="2"/>
      <c r="L583" s="2"/>
      <c r="M583" s="2"/>
      <c r="N583" s="2"/>
      <c r="AD583" s="2"/>
      <c r="AE583" s="2"/>
      <c r="BA583" s="2"/>
      <c r="BD583" s="2"/>
      <c r="BF583" s="2"/>
      <c r="BH583" s="2"/>
      <c r="BI583" s="2"/>
      <c r="BJ583" s="2"/>
    </row>
    <row r="584" ht="14.25" customHeight="1">
      <c r="E584" s="2"/>
      <c r="K584" s="2"/>
      <c r="L584" s="2"/>
      <c r="M584" s="2"/>
      <c r="N584" s="2"/>
      <c r="AD584" s="2"/>
      <c r="AE584" s="2"/>
      <c r="BA584" s="2"/>
      <c r="BD584" s="2"/>
      <c r="BF584" s="2"/>
      <c r="BH584" s="2"/>
      <c r="BI584" s="2"/>
      <c r="BJ584" s="2"/>
    </row>
    <row r="585" ht="14.25" customHeight="1">
      <c r="E585" s="2"/>
      <c r="K585" s="2"/>
      <c r="L585" s="2"/>
      <c r="M585" s="2"/>
      <c r="N585" s="2"/>
      <c r="AD585" s="2"/>
      <c r="AE585" s="2"/>
      <c r="BA585" s="2"/>
      <c r="BD585" s="2"/>
      <c r="BF585" s="2"/>
      <c r="BH585" s="2"/>
      <c r="BI585" s="2"/>
      <c r="BJ585" s="2"/>
    </row>
    <row r="586" ht="14.25" customHeight="1">
      <c r="E586" s="2"/>
      <c r="K586" s="2"/>
      <c r="L586" s="2"/>
      <c r="M586" s="2"/>
      <c r="N586" s="2"/>
      <c r="AD586" s="2"/>
      <c r="AE586" s="2"/>
      <c r="BA586" s="2"/>
      <c r="BD586" s="2"/>
      <c r="BF586" s="2"/>
      <c r="BH586" s="2"/>
      <c r="BI586" s="2"/>
      <c r="BJ586" s="2"/>
    </row>
    <row r="587" ht="14.25" customHeight="1">
      <c r="E587" s="2"/>
      <c r="K587" s="2"/>
      <c r="L587" s="2"/>
      <c r="M587" s="2"/>
      <c r="N587" s="2"/>
      <c r="AD587" s="2"/>
      <c r="AE587" s="2"/>
      <c r="BA587" s="2"/>
      <c r="BD587" s="2"/>
      <c r="BF587" s="2"/>
      <c r="BH587" s="2"/>
      <c r="BI587" s="2"/>
      <c r="BJ587" s="2"/>
    </row>
    <row r="588" ht="14.25" customHeight="1">
      <c r="E588" s="2"/>
      <c r="K588" s="2"/>
      <c r="L588" s="2"/>
      <c r="M588" s="2"/>
      <c r="N588" s="2"/>
      <c r="AD588" s="2"/>
      <c r="AE588" s="2"/>
      <c r="BA588" s="2"/>
      <c r="BD588" s="2"/>
      <c r="BF588" s="2"/>
      <c r="BH588" s="2"/>
      <c r="BI588" s="2"/>
      <c r="BJ588" s="2"/>
    </row>
    <row r="589" ht="14.25" customHeight="1">
      <c r="E589" s="2"/>
      <c r="K589" s="2"/>
      <c r="L589" s="2"/>
      <c r="M589" s="2"/>
      <c r="N589" s="2"/>
      <c r="AD589" s="2"/>
      <c r="AE589" s="2"/>
      <c r="BA589" s="2"/>
      <c r="BD589" s="2"/>
      <c r="BF589" s="2"/>
      <c r="BH589" s="2"/>
      <c r="BI589" s="2"/>
      <c r="BJ589" s="2"/>
    </row>
    <row r="590" ht="14.25" customHeight="1">
      <c r="E590" s="2"/>
      <c r="K590" s="2"/>
      <c r="L590" s="2"/>
      <c r="M590" s="2"/>
      <c r="N590" s="2"/>
      <c r="AD590" s="2"/>
      <c r="AE590" s="2"/>
      <c r="BA590" s="2"/>
      <c r="BD590" s="2"/>
      <c r="BF590" s="2"/>
      <c r="BH590" s="2"/>
      <c r="BI590" s="2"/>
      <c r="BJ590" s="2"/>
    </row>
    <row r="591" ht="14.25" customHeight="1">
      <c r="E591" s="2"/>
      <c r="K591" s="2"/>
      <c r="L591" s="2"/>
      <c r="M591" s="2"/>
      <c r="N591" s="2"/>
      <c r="AD591" s="2"/>
      <c r="AE591" s="2"/>
      <c r="BA591" s="2"/>
      <c r="BD591" s="2"/>
      <c r="BF591" s="2"/>
      <c r="BH591" s="2"/>
      <c r="BI591" s="2"/>
      <c r="BJ591" s="2"/>
    </row>
    <row r="592" ht="14.25" customHeight="1">
      <c r="E592" s="2"/>
      <c r="K592" s="2"/>
      <c r="L592" s="2"/>
      <c r="M592" s="2"/>
      <c r="N592" s="2"/>
      <c r="AD592" s="2"/>
      <c r="AE592" s="2"/>
      <c r="BA592" s="2"/>
      <c r="BD592" s="2"/>
      <c r="BF592" s="2"/>
      <c r="BH592" s="2"/>
      <c r="BI592" s="2"/>
      <c r="BJ592" s="2"/>
    </row>
    <row r="593" ht="14.25" customHeight="1">
      <c r="E593" s="2"/>
      <c r="K593" s="2"/>
      <c r="L593" s="2"/>
      <c r="M593" s="2"/>
      <c r="N593" s="2"/>
      <c r="AD593" s="2"/>
      <c r="AE593" s="2"/>
      <c r="BA593" s="2"/>
      <c r="BD593" s="2"/>
      <c r="BF593" s="2"/>
      <c r="BH593" s="2"/>
      <c r="BI593" s="2"/>
      <c r="BJ593" s="2"/>
    </row>
    <row r="594" ht="14.25" customHeight="1">
      <c r="E594" s="2"/>
      <c r="K594" s="2"/>
      <c r="L594" s="2"/>
      <c r="M594" s="2"/>
      <c r="N594" s="2"/>
      <c r="AD594" s="2"/>
      <c r="AE594" s="2"/>
      <c r="BA594" s="2"/>
      <c r="BD594" s="2"/>
      <c r="BF594" s="2"/>
      <c r="BH594" s="2"/>
      <c r="BI594" s="2"/>
      <c r="BJ594" s="2"/>
    </row>
    <row r="595" ht="14.25" customHeight="1">
      <c r="E595" s="2"/>
      <c r="K595" s="2"/>
      <c r="L595" s="2"/>
      <c r="M595" s="2"/>
      <c r="N595" s="2"/>
      <c r="AD595" s="2"/>
      <c r="AE595" s="2"/>
      <c r="BA595" s="2"/>
      <c r="BD595" s="2"/>
      <c r="BF595" s="2"/>
      <c r="BH595" s="2"/>
      <c r="BI595" s="2"/>
      <c r="BJ595" s="2"/>
    </row>
    <row r="596" ht="14.25" customHeight="1">
      <c r="E596" s="2"/>
      <c r="K596" s="2"/>
      <c r="L596" s="2"/>
      <c r="M596" s="2"/>
      <c r="N596" s="2"/>
      <c r="AD596" s="2"/>
      <c r="AE596" s="2"/>
      <c r="BA596" s="2"/>
      <c r="BD596" s="2"/>
      <c r="BF596" s="2"/>
      <c r="BH596" s="2"/>
      <c r="BI596" s="2"/>
      <c r="BJ596" s="2"/>
    </row>
    <row r="597" ht="14.25" customHeight="1">
      <c r="E597" s="2"/>
      <c r="K597" s="2"/>
      <c r="L597" s="2"/>
      <c r="M597" s="2"/>
      <c r="N597" s="2"/>
      <c r="AD597" s="2"/>
      <c r="AE597" s="2"/>
      <c r="BA597" s="2"/>
      <c r="BD597" s="2"/>
      <c r="BF597" s="2"/>
      <c r="BH597" s="2"/>
      <c r="BI597" s="2"/>
      <c r="BJ597" s="2"/>
    </row>
    <row r="598" ht="14.25" customHeight="1">
      <c r="E598" s="2"/>
      <c r="K598" s="2"/>
      <c r="L598" s="2"/>
      <c r="M598" s="2"/>
      <c r="N598" s="2"/>
      <c r="AD598" s="2"/>
      <c r="AE598" s="2"/>
      <c r="BA598" s="2"/>
      <c r="BD598" s="2"/>
      <c r="BF598" s="2"/>
      <c r="BH598" s="2"/>
      <c r="BI598" s="2"/>
      <c r="BJ598" s="2"/>
    </row>
    <row r="599" ht="14.25" customHeight="1">
      <c r="E599" s="2"/>
      <c r="K599" s="2"/>
      <c r="L599" s="2"/>
      <c r="M599" s="2"/>
      <c r="N599" s="2"/>
      <c r="AD599" s="2"/>
      <c r="AE599" s="2"/>
      <c r="BA599" s="2"/>
      <c r="BD599" s="2"/>
      <c r="BF599" s="2"/>
      <c r="BH599" s="2"/>
      <c r="BI599" s="2"/>
      <c r="BJ599" s="2"/>
    </row>
    <row r="600" ht="14.25" customHeight="1">
      <c r="E600" s="2"/>
      <c r="K600" s="2"/>
      <c r="L600" s="2"/>
      <c r="M600" s="2"/>
      <c r="N600" s="2"/>
      <c r="AD600" s="2"/>
      <c r="AE600" s="2"/>
      <c r="BA600" s="2"/>
      <c r="BD600" s="2"/>
      <c r="BF600" s="2"/>
      <c r="BH600" s="2"/>
      <c r="BI600" s="2"/>
      <c r="BJ600" s="2"/>
    </row>
    <row r="601" ht="14.25" customHeight="1">
      <c r="E601" s="2"/>
      <c r="K601" s="2"/>
      <c r="L601" s="2"/>
      <c r="M601" s="2"/>
      <c r="N601" s="2"/>
      <c r="AD601" s="2"/>
      <c r="AE601" s="2"/>
      <c r="BA601" s="2"/>
      <c r="BD601" s="2"/>
      <c r="BF601" s="2"/>
      <c r="BH601" s="2"/>
      <c r="BI601" s="2"/>
      <c r="BJ601" s="2"/>
    </row>
    <row r="602" ht="14.25" customHeight="1">
      <c r="E602" s="2"/>
      <c r="K602" s="2"/>
      <c r="L602" s="2"/>
      <c r="M602" s="2"/>
      <c r="N602" s="2"/>
      <c r="AD602" s="2"/>
      <c r="AE602" s="2"/>
      <c r="BA602" s="2"/>
      <c r="BD602" s="2"/>
      <c r="BF602" s="2"/>
      <c r="BH602" s="2"/>
      <c r="BI602" s="2"/>
      <c r="BJ602" s="2"/>
    </row>
    <row r="603" ht="14.25" customHeight="1">
      <c r="E603" s="2"/>
      <c r="K603" s="2"/>
      <c r="L603" s="2"/>
      <c r="M603" s="2"/>
      <c r="N603" s="2"/>
      <c r="AD603" s="2"/>
      <c r="AE603" s="2"/>
      <c r="BA603" s="2"/>
      <c r="BD603" s="2"/>
      <c r="BF603" s="2"/>
      <c r="BH603" s="2"/>
      <c r="BI603" s="2"/>
      <c r="BJ603" s="2"/>
    </row>
    <row r="604" ht="14.25" customHeight="1">
      <c r="E604" s="2"/>
      <c r="K604" s="2"/>
      <c r="L604" s="2"/>
      <c r="M604" s="2"/>
      <c r="N604" s="2"/>
      <c r="AD604" s="2"/>
      <c r="AE604" s="2"/>
      <c r="BA604" s="2"/>
      <c r="BD604" s="2"/>
      <c r="BF604" s="2"/>
      <c r="BH604" s="2"/>
      <c r="BI604" s="2"/>
      <c r="BJ604" s="2"/>
    </row>
    <row r="605" ht="14.25" customHeight="1">
      <c r="E605" s="2"/>
      <c r="K605" s="2"/>
      <c r="L605" s="2"/>
      <c r="M605" s="2"/>
      <c r="N605" s="2"/>
      <c r="AD605" s="2"/>
      <c r="AE605" s="2"/>
      <c r="BA605" s="2"/>
      <c r="BD605" s="2"/>
      <c r="BF605" s="2"/>
      <c r="BH605" s="2"/>
      <c r="BI605" s="2"/>
      <c r="BJ605" s="2"/>
    </row>
    <row r="606" ht="14.25" customHeight="1">
      <c r="E606" s="2"/>
      <c r="K606" s="2"/>
      <c r="L606" s="2"/>
      <c r="M606" s="2"/>
      <c r="N606" s="2"/>
      <c r="AD606" s="2"/>
      <c r="AE606" s="2"/>
      <c r="BA606" s="2"/>
      <c r="BD606" s="2"/>
      <c r="BF606" s="2"/>
      <c r="BH606" s="2"/>
      <c r="BI606" s="2"/>
      <c r="BJ606" s="2"/>
    </row>
    <row r="607" ht="14.25" customHeight="1">
      <c r="E607" s="2"/>
      <c r="K607" s="2"/>
      <c r="L607" s="2"/>
      <c r="M607" s="2"/>
      <c r="N607" s="2"/>
      <c r="AD607" s="2"/>
      <c r="AE607" s="2"/>
      <c r="BA607" s="2"/>
      <c r="BD607" s="2"/>
      <c r="BF607" s="2"/>
      <c r="BH607" s="2"/>
      <c r="BI607" s="2"/>
      <c r="BJ607" s="2"/>
    </row>
    <row r="608" ht="14.25" customHeight="1">
      <c r="E608" s="2"/>
      <c r="K608" s="2"/>
      <c r="L608" s="2"/>
      <c r="M608" s="2"/>
      <c r="N608" s="2"/>
      <c r="AD608" s="2"/>
      <c r="AE608" s="2"/>
      <c r="BA608" s="2"/>
      <c r="BD608" s="2"/>
      <c r="BF608" s="2"/>
      <c r="BH608" s="2"/>
      <c r="BI608" s="2"/>
      <c r="BJ608" s="2"/>
    </row>
    <row r="609" ht="14.25" customHeight="1">
      <c r="E609" s="2"/>
      <c r="K609" s="2"/>
      <c r="L609" s="2"/>
      <c r="M609" s="2"/>
      <c r="N609" s="2"/>
      <c r="AD609" s="2"/>
      <c r="AE609" s="2"/>
      <c r="BA609" s="2"/>
      <c r="BD609" s="2"/>
      <c r="BF609" s="2"/>
      <c r="BH609" s="2"/>
      <c r="BI609" s="2"/>
      <c r="BJ609" s="2"/>
    </row>
    <row r="610" ht="14.25" customHeight="1">
      <c r="E610" s="2"/>
      <c r="K610" s="2"/>
      <c r="L610" s="2"/>
      <c r="M610" s="2"/>
      <c r="N610" s="2"/>
      <c r="AD610" s="2"/>
      <c r="AE610" s="2"/>
      <c r="BA610" s="2"/>
      <c r="BD610" s="2"/>
      <c r="BF610" s="2"/>
      <c r="BH610" s="2"/>
      <c r="BI610" s="2"/>
      <c r="BJ610" s="2"/>
    </row>
    <row r="611" ht="14.25" customHeight="1">
      <c r="E611" s="2"/>
      <c r="K611" s="2"/>
      <c r="L611" s="2"/>
      <c r="M611" s="2"/>
      <c r="N611" s="2"/>
      <c r="AD611" s="2"/>
      <c r="AE611" s="2"/>
      <c r="BA611" s="2"/>
      <c r="BD611" s="2"/>
      <c r="BF611" s="2"/>
      <c r="BH611" s="2"/>
      <c r="BI611" s="2"/>
      <c r="BJ611" s="2"/>
    </row>
    <row r="612" ht="14.25" customHeight="1">
      <c r="E612" s="2"/>
      <c r="K612" s="2"/>
      <c r="L612" s="2"/>
      <c r="M612" s="2"/>
      <c r="N612" s="2"/>
      <c r="AD612" s="2"/>
      <c r="AE612" s="2"/>
      <c r="BA612" s="2"/>
      <c r="BD612" s="2"/>
      <c r="BF612" s="2"/>
      <c r="BH612" s="2"/>
      <c r="BI612" s="2"/>
      <c r="BJ612" s="2"/>
    </row>
    <row r="613" ht="14.25" customHeight="1">
      <c r="E613" s="2"/>
      <c r="K613" s="2"/>
      <c r="L613" s="2"/>
      <c r="M613" s="2"/>
      <c r="N613" s="2"/>
      <c r="AD613" s="2"/>
      <c r="AE613" s="2"/>
      <c r="BA613" s="2"/>
      <c r="BD613" s="2"/>
      <c r="BF613" s="2"/>
      <c r="BH613" s="2"/>
      <c r="BI613" s="2"/>
      <c r="BJ613" s="2"/>
    </row>
    <row r="614" ht="14.25" customHeight="1">
      <c r="E614" s="2"/>
      <c r="K614" s="2"/>
      <c r="L614" s="2"/>
      <c r="M614" s="2"/>
      <c r="N614" s="2"/>
      <c r="AD614" s="2"/>
      <c r="AE614" s="2"/>
      <c r="BA614" s="2"/>
      <c r="BD614" s="2"/>
      <c r="BF614" s="2"/>
      <c r="BH614" s="2"/>
      <c r="BI614" s="2"/>
      <c r="BJ614" s="2"/>
    </row>
    <row r="615" ht="14.25" customHeight="1">
      <c r="E615" s="2"/>
      <c r="K615" s="2"/>
      <c r="L615" s="2"/>
      <c r="M615" s="2"/>
      <c r="N615" s="2"/>
      <c r="AD615" s="2"/>
      <c r="AE615" s="2"/>
      <c r="BA615" s="2"/>
      <c r="BD615" s="2"/>
      <c r="BF615" s="2"/>
      <c r="BH615" s="2"/>
      <c r="BI615" s="2"/>
      <c r="BJ615" s="2"/>
    </row>
    <row r="616" ht="14.25" customHeight="1">
      <c r="E616" s="2"/>
      <c r="K616" s="2"/>
      <c r="L616" s="2"/>
      <c r="M616" s="2"/>
      <c r="N616" s="2"/>
      <c r="AD616" s="2"/>
      <c r="AE616" s="2"/>
      <c r="BA616" s="2"/>
      <c r="BD616" s="2"/>
      <c r="BF616" s="2"/>
      <c r="BH616" s="2"/>
      <c r="BI616" s="2"/>
      <c r="BJ616" s="2"/>
    </row>
    <row r="617" ht="14.25" customHeight="1">
      <c r="E617" s="2"/>
      <c r="K617" s="2"/>
      <c r="L617" s="2"/>
      <c r="M617" s="2"/>
      <c r="N617" s="2"/>
      <c r="AD617" s="2"/>
      <c r="AE617" s="2"/>
      <c r="BA617" s="2"/>
      <c r="BD617" s="2"/>
      <c r="BF617" s="2"/>
      <c r="BH617" s="2"/>
      <c r="BI617" s="2"/>
      <c r="BJ617" s="2"/>
    </row>
    <row r="618" ht="14.25" customHeight="1">
      <c r="E618" s="2"/>
      <c r="K618" s="2"/>
      <c r="L618" s="2"/>
      <c r="M618" s="2"/>
      <c r="N618" s="2"/>
      <c r="AD618" s="2"/>
      <c r="AE618" s="2"/>
      <c r="BA618" s="2"/>
      <c r="BD618" s="2"/>
      <c r="BF618" s="2"/>
      <c r="BH618" s="2"/>
      <c r="BI618" s="2"/>
      <c r="BJ618" s="2"/>
    </row>
    <row r="619" ht="14.25" customHeight="1">
      <c r="E619" s="2"/>
      <c r="K619" s="2"/>
      <c r="L619" s="2"/>
      <c r="M619" s="2"/>
      <c r="N619" s="2"/>
      <c r="AD619" s="2"/>
      <c r="AE619" s="2"/>
      <c r="BA619" s="2"/>
      <c r="BD619" s="2"/>
      <c r="BF619" s="2"/>
      <c r="BH619" s="2"/>
      <c r="BI619" s="2"/>
      <c r="BJ619" s="2"/>
    </row>
    <row r="620" ht="14.25" customHeight="1">
      <c r="E620" s="2"/>
      <c r="K620" s="2"/>
      <c r="L620" s="2"/>
      <c r="M620" s="2"/>
      <c r="N620" s="2"/>
      <c r="AD620" s="2"/>
      <c r="AE620" s="2"/>
      <c r="BA620" s="2"/>
      <c r="BD620" s="2"/>
      <c r="BF620" s="2"/>
      <c r="BH620" s="2"/>
      <c r="BI620" s="2"/>
      <c r="BJ620" s="2"/>
    </row>
    <row r="621" ht="14.25" customHeight="1">
      <c r="E621" s="2"/>
      <c r="K621" s="2"/>
      <c r="L621" s="2"/>
      <c r="M621" s="2"/>
      <c r="N621" s="2"/>
      <c r="AD621" s="2"/>
      <c r="AE621" s="2"/>
      <c r="BA621" s="2"/>
      <c r="BD621" s="2"/>
      <c r="BF621" s="2"/>
      <c r="BH621" s="2"/>
      <c r="BI621" s="2"/>
      <c r="BJ621" s="2"/>
    </row>
    <row r="622" ht="14.25" customHeight="1">
      <c r="E622" s="2"/>
      <c r="K622" s="2"/>
      <c r="L622" s="2"/>
      <c r="M622" s="2"/>
      <c r="N622" s="2"/>
      <c r="AD622" s="2"/>
      <c r="AE622" s="2"/>
      <c r="BA622" s="2"/>
      <c r="BD622" s="2"/>
      <c r="BF622" s="2"/>
      <c r="BH622" s="2"/>
      <c r="BI622" s="2"/>
      <c r="BJ622" s="2"/>
    </row>
    <row r="623" ht="14.25" customHeight="1">
      <c r="E623" s="2"/>
      <c r="K623" s="2"/>
      <c r="L623" s="2"/>
      <c r="M623" s="2"/>
      <c r="N623" s="2"/>
      <c r="AD623" s="2"/>
      <c r="AE623" s="2"/>
      <c r="BA623" s="2"/>
      <c r="BD623" s="2"/>
      <c r="BF623" s="2"/>
      <c r="BH623" s="2"/>
      <c r="BI623" s="2"/>
      <c r="BJ623" s="2"/>
    </row>
    <row r="624" ht="14.25" customHeight="1">
      <c r="E624" s="2"/>
      <c r="K624" s="2"/>
      <c r="L624" s="2"/>
      <c r="M624" s="2"/>
      <c r="N624" s="2"/>
      <c r="AD624" s="2"/>
      <c r="AE624" s="2"/>
      <c r="BA624" s="2"/>
      <c r="BD624" s="2"/>
      <c r="BF624" s="2"/>
      <c r="BH624" s="2"/>
      <c r="BI624" s="2"/>
      <c r="BJ624" s="2"/>
    </row>
    <row r="625" ht="14.25" customHeight="1">
      <c r="E625" s="2"/>
      <c r="K625" s="2"/>
      <c r="L625" s="2"/>
      <c r="M625" s="2"/>
      <c r="N625" s="2"/>
      <c r="AD625" s="2"/>
      <c r="AE625" s="2"/>
      <c r="BA625" s="2"/>
      <c r="BD625" s="2"/>
      <c r="BF625" s="2"/>
      <c r="BH625" s="2"/>
      <c r="BI625" s="2"/>
      <c r="BJ625" s="2"/>
    </row>
    <row r="626" ht="14.25" customHeight="1">
      <c r="E626" s="2"/>
      <c r="K626" s="2"/>
      <c r="L626" s="2"/>
      <c r="M626" s="2"/>
      <c r="N626" s="2"/>
      <c r="AD626" s="2"/>
      <c r="AE626" s="2"/>
      <c r="BA626" s="2"/>
      <c r="BD626" s="2"/>
      <c r="BF626" s="2"/>
      <c r="BH626" s="2"/>
      <c r="BI626" s="2"/>
      <c r="BJ626" s="2"/>
    </row>
    <row r="627" ht="14.25" customHeight="1">
      <c r="E627" s="2"/>
      <c r="K627" s="2"/>
      <c r="L627" s="2"/>
      <c r="M627" s="2"/>
      <c r="N627" s="2"/>
      <c r="AD627" s="2"/>
      <c r="AE627" s="2"/>
      <c r="BA627" s="2"/>
      <c r="BD627" s="2"/>
      <c r="BF627" s="2"/>
      <c r="BH627" s="2"/>
      <c r="BI627" s="2"/>
      <c r="BJ627" s="2"/>
    </row>
    <row r="628" ht="14.25" customHeight="1">
      <c r="E628" s="2"/>
      <c r="K628" s="2"/>
      <c r="L628" s="2"/>
      <c r="M628" s="2"/>
      <c r="N628" s="2"/>
      <c r="AD628" s="2"/>
      <c r="AE628" s="2"/>
      <c r="BA628" s="2"/>
      <c r="BD628" s="2"/>
      <c r="BF628" s="2"/>
      <c r="BH628" s="2"/>
      <c r="BI628" s="2"/>
      <c r="BJ628" s="2"/>
    </row>
    <row r="629" ht="14.25" customHeight="1">
      <c r="E629" s="2"/>
      <c r="K629" s="2"/>
      <c r="L629" s="2"/>
      <c r="M629" s="2"/>
      <c r="N629" s="2"/>
      <c r="AD629" s="2"/>
      <c r="AE629" s="2"/>
      <c r="BA629" s="2"/>
      <c r="BD629" s="2"/>
      <c r="BF629" s="2"/>
      <c r="BH629" s="2"/>
      <c r="BI629" s="2"/>
      <c r="BJ629" s="2"/>
    </row>
    <row r="630" ht="14.25" customHeight="1">
      <c r="E630" s="2"/>
      <c r="K630" s="2"/>
      <c r="L630" s="2"/>
      <c r="M630" s="2"/>
      <c r="N630" s="2"/>
      <c r="AD630" s="2"/>
      <c r="AE630" s="2"/>
      <c r="BA630" s="2"/>
      <c r="BD630" s="2"/>
      <c r="BF630" s="2"/>
      <c r="BH630" s="2"/>
      <c r="BI630" s="2"/>
      <c r="BJ630" s="2"/>
    </row>
    <row r="631" ht="14.25" customHeight="1">
      <c r="E631" s="2"/>
      <c r="K631" s="2"/>
      <c r="L631" s="2"/>
      <c r="M631" s="2"/>
      <c r="N631" s="2"/>
      <c r="AD631" s="2"/>
      <c r="AE631" s="2"/>
      <c r="BA631" s="2"/>
      <c r="BD631" s="2"/>
      <c r="BF631" s="2"/>
      <c r="BH631" s="2"/>
      <c r="BI631" s="2"/>
      <c r="BJ631" s="2"/>
    </row>
    <row r="632" ht="14.25" customHeight="1">
      <c r="E632" s="2"/>
      <c r="K632" s="2"/>
      <c r="L632" s="2"/>
      <c r="M632" s="2"/>
      <c r="N632" s="2"/>
      <c r="AD632" s="2"/>
      <c r="AE632" s="2"/>
      <c r="BA632" s="2"/>
      <c r="BD632" s="2"/>
      <c r="BF632" s="2"/>
      <c r="BH632" s="2"/>
      <c r="BI632" s="2"/>
      <c r="BJ632" s="2"/>
    </row>
    <row r="633" ht="14.25" customHeight="1">
      <c r="E633" s="2"/>
      <c r="K633" s="2"/>
      <c r="L633" s="2"/>
      <c r="M633" s="2"/>
      <c r="N633" s="2"/>
      <c r="AD633" s="2"/>
      <c r="AE633" s="2"/>
      <c r="BA633" s="2"/>
      <c r="BD633" s="2"/>
      <c r="BF633" s="2"/>
      <c r="BH633" s="2"/>
      <c r="BI633" s="2"/>
      <c r="BJ633" s="2"/>
    </row>
    <row r="634" ht="14.25" customHeight="1">
      <c r="E634" s="2"/>
      <c r="K634" s="2"/>
      <c r="L634" s="2"/>
      <c r="M634" s="2"/>
      <c r="N634" s="2"/>
      <c r="AD634" s="2"/>
      <c r="AE634" s="2"/>
      <c r="BA634" s="2"/>
      <c r="BD634" s="2"/>
      <c r="BF634" s="2"/>
      <c r="BH634" s="2"/>
      <c r="BI634" s="2"/>
      <c r="BJ634" s="2"/>
    </row>
    <row r="635" ht="14.25" customHeight="1">
      <c r="E635" s="2"/>
      <c r="K635" s="2"/>
      <c r="L635" s="2"/>
      <c r="M635" s="2"/>
      <c r="N635" s="2"/>
      <c r="AD635" s="2"/>
      <c r="AE635" s="2"/>
      <c r="BA635" s="2"/>
      <c r="BD635" s="2"/>
      <c r="BF635" s="2"/>
      <c r="BH635" s="2"/>
      <c r="BI635" s="2"/>
      <c r="BJ635" s="2"/>
    </row>
    <row r="636" ht="14.25" customHeight="1">
      <c r="E636" s="2"/>
      <c r="K636" s="2"/>
      <c r="L636" s="2"/>
      <c r="M636" s="2"/>
      <c r="N636" s="2"/>
      <c r="AD636" s="2"/>
      <c r="AE636" s="2"/>
      <c r="BA636" s="2"/>
      <c r="BD636" s="2"/>
      <c r="BF636" s="2"/>
      <c r="BH636" s="2"/>
      <c r="BI636" s="2"/>
      <c r="BJ636" s="2"/>
    </row>
    <row r="637" ht="14.25" customHeight="1">
      <c r="E637" s="2"/>
      <c r="K637" s="2"/>
      <c r="L637" s="2"/>
      <c r="M637" s="2"/>
      <c r="N637" s="2"/>
      <c r="AD637" s="2"/>
      <c r="AE637" s="2"/>
      <c r="BA637" s="2"/>
      <c r="BD637" s="2"/>
      <c r="BF637" s="2"/>
      <c r="BH637" s="2"/>
      <c r="BI637" s="2"/>
      <c r="BJ637" s="2"/>
    </row>
    <row r="638" ht="14.25" customHeight="1">
      <c r="E638" s="2"/>
      <c r="K638" s="2"/>
      <c r="L638" s="2"/>
      <c r="M638" s="2"/>
      <c r="N638" s="2"/>
      <c r="AD638" s="2"/>
      <c r="AE638" s="2"/>
      <c r="BA638" s="2"/>
      <c r="BD638" s="2"/>
      <c r="BF638" s="2"/>
      <c r="BH638" s="2"/>
      <c r="BI638" s="2"/>
      <c r="BJ638" s="2"/>
    </row>
    <row r="639" ht="14.25" customHeight="1">
      <c r="E639" s="2"/>
      <c r="K639" s="2"/>
      <c r="L639" s="2"/>
      <c r="M639" s="2"/>
      <c r="N639" s="2"/>
      <c r="AD639" s="2"/>
      <c r="AE639" s="2"/>
      <c r="BA639" s="2"/>
      <c r="BD639" s="2"/>
      <c r="BF639" s="2"/>
      <c r="BH639" s="2"/>
      <c r="BI639" s="2"/>
      <c r="BJ639" s="2"/>
    </row>
    <row r="640" ht="14.25" customHeight="1">
      <c r="E640" s="2"/>
      <c r="K640" s="2"/>
      <c r="L640" s="2"/>
      <c r="M640" s="2"/>
      <c r="N640" s="2"/>
      <c r="AD640" s="2"/>
      <c r="AE640" s="2"/>
      <c r="BA640" s="2"/>
      <c r="BD640" s="2"/>
      <c r="BF640" s="2"/>
      <c r="BH640" s="2"/>
      <c r="BI640" s="2"/>
      <c r="BJ640" s="2"/>
    </row>
    <row r="641" ht="14.25" customHeight="1">
      <c r="E641" s="2"/>
      <c r="K641" s="2"/>
      <c r="L641" s="2"/>
      <c r="M641" s="2"/>
      <c r="N641" s="2"/>
      <c r="AD641" s="2"/>
      <c r="AE641" s="2"/>
      <c r="BA641" s="2"/>
      <c r="BD641" s="2"/>
      <c r="BF641" s="2"/>
      <c r="BH641" s="2"/>
      <c r="BI641" s="2"/>
      <c r="BJ641" s="2"/>
    </row>
    <row r="642" ht="14.25" customHeight="1">
      <c r="E642" s="2"/>
      <c r="K642" s="2"/>
      <c r="L642" s="2"/>
      <c r="M642" s="2"/>
      <c r="N642" s="2"/>
      <c r="AD642" s="2"/>
      <c r="AE642" s="2"/>
      <c r="BA642" s="2"/>
      <c r="BD642" s="2"/>
      <c r="BF642" s="2"/>
      <c r="BH642" s="2"/>
      <c r="BI642" s="2"/>
      <c r="BJ642" s="2"/>
    </row>
    <row r="643" ht="14.25" customHeight="1">
      <c r="E643" s="2"/>
      <c r="K643" s="2"/>
      <c r="L643" s="2"/>
      <c r="M643" s="2"/>
      <c r="N643" s="2"/>
      <c r="AD643" s="2"/>
      <c r="AE643" s="2"/>
      <c r="BA643" s="2"/>
      <c r="BD643" s="2"/>
      <c r="BF643" s="2"/>
      <c r="BH643" s="2"/>
      <c r="BI643" s="2"/>
      <c r="BJ643" s="2"/>
    </row>
    <row r="644" ht="14.25" customHeight="1">
      <c r="E644" s="2"/>
      <c r="K644" s="2"/>
      <c r="L644" s="2"/>
      <c r="M644" s="2"/>
      <c r="N644" s="2"/>
      <c r="AD644" s="2"/>
      <c r="AE644" s="2"/>
      <c r="BA644" s="2"/>
      <c r="BD644" s="2"/>
      <c r="BF644" s="2"/>
      <c r="BH644" s="2"/>
      <c r="BI644" s="2"/>
      <c r="BJ644" s="2"/>
    </row>
    <row r="645" ht="14.25" customHeight="1">
      <c r="E645" s="2"/>
      <c r="K645" s="2"/>
      <c r="L645" s="2"/>
      <c r="M645" s="2"/>
      <c r="N645" s="2"/>
      <c r="AD645" s="2"/>
      <c r="AE645" s="2"/>
      <c r="BA645" s="2"/>
      <c r="BD645" s="2"/>
      <c r="BF645" s="2"/>
      <c r="BH645" s="2"/>
      <c r="BI645" s="2"/>
      <c r="BJ645" s="2"/>
    </row>
    <row r="646" ht="14.25" customHeight="1">
      <c r="E646" s="2"/>
      <c r="K646" s="2"/>
      <c r="L646" s="2"/>
      <c r="M646" s="2"/>
      <c r="N646" s="2"/>
      <c r="AD646" s="2"/>
      <c r="AE646" s="2"/>
      <c r="BA646" s="2"/>
      <c r="BD646" s="2"/>
      <c r="BF646" s="2"/>
      <c r="BH646" s="2"/>
      <c r="BI646" s="2"/>
      <c r="BJ646" s="2"/>
    </row>
    <row r="647" ht="14.25" customHeight="1">
      <c r="E647" s="2"/>
      <c r="K647" s="2"/>
      <c r="L647" s="2"/>
      <c r="M647" s="2"/>
      <c r="N647" s="2"/>
      <c r="AD647" s="2"/>
      <c r="AE647" s="2"/>
      <c r="BA647" s="2"/>
      <c r="BD647" s="2"/>
      <c r="BF647" s="2"/>
      <c r="BH647" s="2"/>
      <c r="BI647" s="2"/>
      <c r="BJ647" s="2"/>
    </row>
    <row r="648" ht="14.25" customHeight="1">
      <c r="E648" s="2"/>
      <c r="K648" s="2"/>
      <c r="L648" s="2"/>
      <c r="M648" s="2"/>
      <c r="N648" s="2"/>
      <c r="AD648" s="2"/>
      <c r="AE648" s="2"/>
      <c r="BA648" s="2"/>
      <c r="BD648" s="2"/>
      <c r="BF648" s="2"/>
      <c r="BH648" s="2"/>
      <c r="BI648" s="2"/>
      <c r="BJ648" s="2"/>
    </row>
    <row r="649" ht="14.25" customHeight="1">
      <c r="E649" s="2"/>
      <c r="K649" s="2"/>
      <c r="L649" s="2"/>
      <c r="M649" s="2"/>
      <c r="N649" s="2"/>
      <c r="AD649" s="2"/>
      <c r="AE649" s="2"/>
      <c r="BA649" s="2"/>
      <c r="BD649" s="2"/>
      <c r="BF649" s="2"/>
      <c r="BH649" s="2"/>
      <c r="BI649" s="2"/>
      <c r="BJ649" s="2"/>
    </row>
    <row r="650" ht="14.25" customHeight="1">
      <c r="E650" s="2"/>
      <c r="K650" s="2"/>
      <c r="L650" s="2"/>
      <c r="M650" s="2"/>
      <c r="N650" s="2"/>
      <c r="AD650" s="2"/>
      <c r="AE650" s="2"/>
      <c r="BA650" s="2"/>
      <c r="BD650" s="2"/>
      <c r="BF650" s="2"/>
      <c r="BH650" s="2"/>
      <c r="BI650" s="2"/>
      <c r="BJ650" s="2"/>
    </row>
    <row r="651" ht="14.25" customHeight="1">
      <c r="E651" s="2"/>
      <c r="K651" s="2"/>
      <c r="L651" s="2"/>
      <c r="M651" s="2"/>
      <c r="N651" s="2"/>
      <c r="AD651" s="2"/>
      <c r="AE651" s="2"/>
      <c r="BA651" s="2"/>
      <c r="BD651" s="2"/>
      <c r="BF651" s="2"/>
      <c r="BH651" s="2"/>
      <c r="BI651" s="2"/>
      <c r="BJ651" s="2"/>
    </row>
    <row r="652" ht="14.25" customHeight="1">
      <c r="E652" s="2"/>
      <c r="K652" s="2"/>
      <c r="L652" s="2"/>
      <c r="M652" s="2"/>
      <c r="N652" s="2"/>
      <c r="AD652" s="2"/>
      <c r="AE652" s="2"/>
      <c r="BA652" s="2"/>
      <c r="BD652" s="2"/>
      <c r="BF652" s="2"/>
      <c r="BH652" s="2"/>
      <c r="BI652" s="2"/>
      <c r="BJ652" s="2"/>
    </row>
    <row r="653" ht="14.25" customHeight="1">
      <c r="E653" s="2"/>
      <c r="K653" s="2"/>
      <c r="L653" s="2"/>
      <c r="M653" s="2"/>
      <c r="N653" s="2"/>
      <c r="AD653" s="2"/>
      <c r="AE653" s="2"/>
      <c r="BA653" s="2"/>
      <c r="BD653" s="2"/>
      <c r="BF653" s="2"/>
      <c r="BH653" s="2"/>
      <c r="BI653" s="2"/>
      <c r="BJ653" s="2"/>
    </row>
    <row r="654" ht="14.25" customHeight="1">
      <c r="E654" s="2"/>
      <c r="K654" s="2"/>
      <c r="L654" s="2"/>
      <c r="M654" s="2"/>
      <c r="N654" s="2"/>
      <c r="AD654" s="2"/>
      <c r="AE654" s="2"/>
      <c r="BA654" s="2"/>
      <c r="BD654" s="2"/>
      <c r="BF654" s="2"/>
      <c r="BH654" s="2"/>
      <c r="BI654" s="2"/>
      <c r="BJ654" s="2"/>
    </row>
    <row r="655" ht="14.25" customHeight="1">
      <c r="E655" s="2"/>
      <c r="K655" s="2"/>
      <c r="L655" s="2"/>
      <c r="M655" s="2"/>
      <c r="N655" s="2"/>
      <c r="AD655" s="2"/>
      <c r="AE655" s="2"/>
      <c r="BA655" s="2"/>
      <c r="BD655" s="2"/>
      <c r="BF655" s="2"/>
      <c r="BH655" s="2"/>
      <c r="BI655" s="2"/>
      <c r="BJ655" s="2"/>
    </row>
    <row r="656" ht="14.25" customHeight="1">
      <c r="E656" s="2"/>
      <c r="K656" s="2"/>
      <c r="L656" s="2"/>
      <c r="M656" s="2"/>
      <c r="N656" s="2"/>
      <c r="AD656" s="2"/>
      <c r="AE656" s="2"/>
      <c r="BA656" s="2"/>
      <c r="BD656" s="2"/>
      <c r="BF656" s="2"/>
      <c r="BH656" s="2"/>
      <c r="BI656" s="2"/>
      <c r="BJ656" s="2"/>
    </row>
    <row r="657" ht="14.25" customHeight="1">
      <c r="E657" s="2"/>
      <c r="K657" s="2"/>
      <c r="L657" s="2"/>
      <c r="M657" s="2"/>
      <c r="N657" s="2"/>
      <c r="AD657" s="2"/>
      <c r="AE657" s="2"/>
      <c r="BA657" s="2"/>
      <c r="BD657" s="2"/>
      <c r="BF657" s="2"/>
      <c r="BH657" s="2"/>
      <c r="BI657" s="2"/>
      <c r="BJ657" s="2"/>
    </row>
    <row r="658" ht="14.25" customHeight="1">
      <c r="E658" s="2"/>
      <c r="K658" s="2"/>
      <c r="L658" s="2"/>
      <c r="M658" s="2"/>
      <c r="N658" s="2"/>
      <c r="AD658" s="2"/>
      <c r="AE658" s="2"/>
      <c r="BA658" s="2"/>
      <c r="BD658" s="2"/>
      <c r="BF658" s="2"/>
      <c r="BH658" s="2"/>
      <c r="BI658" s="2"/>
      <c r="BJ658" s="2"/>
    </row>
    <row r="659" ht="14.25" customHeight="1">
      <c r="E659" s="2"/>
      <c r="K659" s="2"/>
      <c r="L659" s="2"/>
      <c r="M659" s="2"/>
      <c r="N659" s="2"/>
      <c r="AD659" s="2"/>
      <c r="AE659" s="2"/>
      <c r="BA659" s="2"/>
      <c r="BD659" s="2"/>
      <c r="BF659" s="2"/>
      <c r="BH659" s="2"/>
      <c r="BI659" s="2"/>
      <c r="BJ659" s="2"/>
    </row>
    <row r="660" ht="14.25" customHeight="1">
      <c r="E660" s="2"/>
      <c r="K660" s="2"/>
      <c r="L660" s="2"/>
      <c r="M660" s="2"/>
      <c r="N660" s="2"/>
      <c r="AD660" s="2"/>
      <c r="AE660" s="2"/>
      <c r="BA660" s="2"/>
      <c r="BD660" s="2"/>
      <c r="BF660" s="2"/>
      <c r="BH660" s="2"/>
      <c r="BI660" s="2"/>
      <c r="BJ660" s="2"/>
    </row>
    <row r="661" ht="14.25" customHeight="1">
      <c r="E661" s="2"/>
      <c r="K661" s="2"/>
      <c r="L661" s="2"/>
      <c r="M661" s="2"/>
      <c r="N661" s="2"/>
      <c r="AD661" s="2"/>
      <c r="AE661" s="2"/>
      <c r="BA661" s="2"/>
      <c r="BD661" s="2"/>
      <c r="BF661" s="2"/>
      <c r="BH661" s="2"/>
      <c r="BI661" s="2"/>
      <c r="BJ661" s="2"/>
    </row>
    <row r="662" ht="14.25" customHeight="1">
      <c r="E662" s="2"/>
      <c r="K662" s="2"/>
      <c r="L662" s="2"/>
      <c r="M662" s="2"/>
      <c r="N662" s="2"/>
      <c r="AD662" s="2"/>
      <c r="AE662" s="2"/>
      <c r="BA662" s="2"/>
      <c r="BD662" s="2"/>
      <c r="BF662" s="2"/>
      <c r="BH662" s="2"/>
      <c r="BI662" s="2"/>
      <c r="BJ662" s="2"/>
    </row>
    <row r="663" ht="14.25" customHeight="1">
      <c r="E663" s="2"/>
      <c r="K663" s="2"/>
      <c r="L663" s="2"/>
      <c r="M663" s="2"/>
      <c r="N663" s="2"/>
      <c r="AD663" s="2"/>
      <c r="AE663" s="2"/>
      <c r="BA663" s="2"/>
      <c r="BD663" s="2"/>
      <c r="BF663" s="2"/>
      <c r="BH663" s="2"/>
      <c r="BI663" s="2"/>
      <c r="BJ663" s="2"/>
    </row>
    <row r="664" ht="14.25" customHeight="1">
      <c r="E664" s="2"/>
      <c r="K664" s="2"/>
      <c r="L664" s="2"/>
      <c r="M664" s="2"/>
      <c r="N664" s="2"/>
      <c r="AD664" s="2"/>
      <c r="AE664" s="2"/>
      <c r="BA664" s="2"/>
      <c r="BD664" s="2"/>
      <c r="BF664" s="2"/>
      <c r="BH664" s="2"/>
      <c r="BI664" s="2"/>
      <c r="BJ664" s="2"/>
    </row>
    <row r="665" ht="14.25" customHeight="1">
      <c r="E665" s="2"/>
      <c r="K665" s="2"/>
      <c r="L665" s="2"/>
      <c r="M665" s="2"/>
      <c r="N665" s="2"/>
      <c r="AD665" s="2"/>
      <c r="AE665" s="2"/>
      <c r="BA665" s="2"/>
      <c r="BD665" s="2"/>
      <c r="BF665" s="2"/>
      <c r="BH665" s="2"/>
      <c r="BI665" s="2"/>
      <c r="BJ665" s="2"/>
    </row>
    <row r="666" ht="14.25" customHeight="1">
      <c r="E666" s="2"/>
      <c r="K666" s="2"/>
      <c r="L666" s="2"/>
      <c r="M666" s="2"/>
      <c r="N666" s="2"/>
      <c r="AD666" s="2"/>
      <c r="AE666" s="2"/>
      <c r="BA666" s="2"/>
      <c r="BD666" s="2"/>
      <c r="BF666" s="2"/>
      <c r="BH666" s="2"/>
      <c r="BI666" s="2"/>
      <c r="BJ666" s="2"/>
    </row>
    <row r="667" ht="14.25" customHeight="1">
      <c r="E667" s="2"/>
      <c r="K667" s="2"/>
      <c r="L667" s="2"/>
      <c r="M667" s="2"/>
      <c r="N667" s="2"/>
      <c r="AD667" s="2"/>
      <c r="AE667" s="2"/>
      <c r="BA667" s="2"/>
      <c r="BD667" s="2"/>
      <c r="BF667" s="2"/>
      <c r="BH667" s="2"/>
      <c r="BI667" s="2"/>
      <c r="BJ667" s="2"/>
    </row>
    <row r="668" ht="14.25" customHeight="1">
      <c r="E668" s="2"/>
      <c r="K668" s="2"/>
      <c r="L668" s="2"/>
      <c r="M668" s="2"/>
      <c r="N668" s="2"/>
      <c r="AD668" s="2"/>
      <c r="AE668" s="2"/>
      <c r="BA668" s="2"/>
      <c r="BD668" s="2"/>
      <c r="BF668" s="2"/>
      <c r="BH668" s="2"/>
      <c r="BI668" s="2"/>
      <c r="BJ668" s="2"/>
    </row>
    <row r="669" ht="14.25" customHeight="1">
      <c r="E669" s="2"/>
      <c r="K669" s="2"/>
      <c r="L669" s="2"/>
      <c r="M669" s="2"/>
      <c r="N669" s="2"/>
      <c r="AD669" s="2"/>
      <c r="AE669" s="2"/>
      <c r="BA669" s="2"/>
      <c r="BD669" s="2"/>
      <c r="BF669" s="2"/>
      <c r="BH669" s="2"/>
      <c r="BI669" s="2"/>
      <c r="BJ669" s="2"/>
    </row>
    <row r="670" ht="14.25" customHeight="1">
      <c r="E670" s="2"/>
      <c r="K670" s="2"/>
      <c r="L670" s="2"/>
      <c r="M670" s="2"/>
      <c r="N670" s="2"/>
      <c r="AD670" s="2"/>
      <c r="AE670" s="2"/>
      <c r="BA670" s="2"/>
      <c r="BD670" s="2"/>
      <c r="BF670" s="2"/>
      <c r="BH670" s="2"/>
      <c r="BI670" s="2"/>
      <c r="BJ670" s="2"/>
    </row>
    <row r="671" ht="14.25" customHeight="1">
      <c r="E671" s="2"/>
      <c r="K671" s="2"/>
      <c r="L671" s="2"/>
      <c r="M671" s="2"/>
      <c r="N671" s="2"/>
      <c r="AD671" s="2"/>
      <c r="AE671" s="2"/>
      <c r="BA671" s="2"/>
      <c r="BD671" s="2"/>
      <c r="BF671" s="2"/>
      <c r="BH671" s="2"/>
      <c r="BI671" s="2"/>
      <c r="BJ671" s="2"/>
    </row>
    <row r="672" ht="14.25" customHeight="1">
      <c r="E672" s="2"/>
      <c r="K672" s="2"/>
      <c r="L672" s="2"/>
      <c r="M672" s="2"/>
      <c r="N672" s="2"/>
      <c r="AD672" s="2"/>
      <c r="AE672" s="2"/>
      <c r="BA672" s="2"/>
      <c r="BD672" s="2"/>
      <c r="BF672" s="2"/>
      <c r="BH672" s="2"/>
      <c r="BI672" s="2"/>
      <c r="BJ672" s="2"/>
    </row>
    <row r="673" ht="14.25" customHeight="1">
      <c r="E673" s="2"/>
      <c r="K673" s="2"/>
      <c r="L673" s="2"/>
      <c r="M673" s="2"/>
      <c r="N673" s="2"/>
      <c r="AD673" s="2"/>
      <c r="AE673" s="2"/>
      <c r="BA673" s="2"/>
      <c r="BD673" s="2"/>
      <c r="BF673" s="2"/>
      <c r="BH673" s="2"/>
      <c r="BI673" s="2"/>
      <c r="BJ673" s="2"/>
    </row>
    <row r="674" ht="14.25" customHeight="1">
      <c r="E674" s="2"/>
      <c r="K674" s="2"/>
      <c r="L674" s="2"/>
      <c r="M674" s="2"/>
      <c r="N674" s="2"/>
      <c r="AD674" s="2"/>
      <c r="AE674" s="2"/>
      <c r="BA674" s="2"/>
      <c r="BD674" s="2"/>
      <c r="BF674" s="2"/>
      <c r="BH674" s="2"/>
      <c r="BI674" s="2"/>
      <c r="BJ674" s="2"/>
    </row>
    <row r="675" ht="14.25" customHeight="1">
      <c r="E675" s="2"/>
      <c r="K675" s="2"/>
      <c r="L675" s="2"/>
      <c r="M675" s="2"/>
      <c r="N675" s="2"/>
      <c r="AD675" s="2"/>
      <c r="AE675" s="2"/>
      <c r="BA675" s="2"/>
      <c r="BD675" s="2"/>
      <c r="BF675" s="2"/>
      <c r="BH675" s="2"/>
      <c r="BI675" s="2"/>
      <c r="BJ675" s="2"/>
    </row>
    <row r="676" ht="14.25" customHeight="1">
      <c r="E676" s="2"/>
      <c r="K676" s="2"/>
      <c r="L676" s="2"/>
      <c r="M676" s="2"/>
      <c r="N676" s="2"/>
      <c r="AD676" s="2"/>
      <c r="AE676" s="2"/>
      <c r="BA676" s="2"/>
      <c r="BD676" s="2"/>
      <c r="BF676" s="2"/>
      <c r="BH676" s="2"/>
      <c r="BI676" s="2"/>
      <c r="BJ676" s="2"/>
    </row>
    <row r="677" ht="14.25" customHeight="1">
      <c r="E677" s="2"/>
      <c r="K677" s="2"/>
      <c r="L677" s="2"/>
      <c r="M677" s="2"/>
      <c r="N677" s="2"/>
      <c r="AD677" s="2"/>
      <c r="AE677" s="2"/>
      <c r="BA677" s="2"/>
      <c r="BD677" s="2"/>
      <c r="BF677" s="2"/>
      <c r="BH677" s="2"/>
      <c r="BI677" s="2"/>
      <c r="BJ677" s="2"/>
    </row>
    <row r="678" ht="14.25" customHeight="1">
      <c r="E678" s="2"/>
      <c r="K678" s="2"/>
      <c r="L678" s="2"/>
      <c r="M678" s="2"/>
      <c r="N678" s="2"/>
      <c r="AD678" s="2"/>
      <c r="AE678" s="2"/>
      <c r="BA678" s="2"/>
      <c r="BD678" s="2"/>
      <c r="BF678" s="2"/>
      <c r="BH678" s="2"/>
      <c r="BI678" s="2"/>
      <c r="BJ678" s="2"/>
    </row>
    <row r="679" ht="14.25" customHeight="1">
      <c r="E679" s="2"/>
      <c r="K679" s="2"/>
      <c r="L679" s="2"/>
      <c r="M679" s="2"/>
      <c r="N679" s="2"/>
      <c r="AD679" s="2"/>
      <c r="AE679" s="2"/>
      <c r="BA679" s="2"/>
      <c r="BD679" s="2"/>
      <c r="BF679" s="2"/>
      <c r="BH679" s="2"/>
      <c r="BI679" s="2"/>
      <c r="BJ679" s="2"/>
    </row>
    <row r="680" ht="14.25" customHeight="1">
      <c r="E680" s="2"/>
      <c r="K680" s="2"/>
      <c r="L680" s="2"/>
      <c r="M680" s="2"/>
      <c r="N680" s="2"/>
      <c r="AD680" s="2"/>
      <c r="AE680" s="2"/>
      <c r="BA680" s="2"/>
      <c r="BD680" s="2"/>
      <c r="BF680" s="2"/>
      <c r="BH680" s="2"/>
      <c r="BI680" s="2"/>
      <c r="BJ680" s="2"/>
    </row>
    <row r="681" ht="14.25" customHeight="1">
      <c r="E681" s="2"/>
      <c r="K681" s="2"/>
      <c r="L681" s="2"/>
      <c r="M681" s="2"/>
      <c r="N681" s="2"/>
      <c r="AD681" s="2"/>
      <c r="AE681" s="2"/>
      <c r="BA681" s="2"/>
      <c r="BD681" s="2"/>
      <c r="BF681" s="2"/>
      <c r="BH681" s="2"/>
      <c r="BI681" s="2"/>
      <c r="BJ681" s="2"/>
    </row>
    <row r="682" ht="14.25" customHeight="1">
      <c r="E682" s="2"/>
      <c r="K682" s="2"/>
      <c r="L682" s="2"/>
      <c r="M682" s="2"/>
      <c r="N682" s="2"/>
      <c r="AD682" s="2"/>
      <c r="AE682" s="2"/>
      <c r="BA682" s="2"/>
      <c r="BD682" s="2"/>
      <c r="BF682" s="2"/>
      <c r="BH682" s="2"/>
      <c r="BI682" s="2"/>
      <c r="BJ682" s="2"/>
    </row>
    <row r="683" ht="14.25" customHeight="1">
      <c r="E683" s="2"/>
      <c r="K683" s="2"/>
      <c r="L683" s="2"/>
      <c r="M683" s="2"/>
      <c r="N683" s="2"/>
      <c r="AD683" s="2"/>
      <c r="AE683" s="2"/>
      <c r="BA683" s="2"/>
      <c r="BD683" s="2"/>
      <c r="BF683" s="2"/>
      <c r="BH683" s="2"/>
      <c r="BI683" s="2"/>
      <c r="BJ683" s="2"/>
    </row>
    <row r="684" ht="14.25" customHeight="1">
      <c r="E684" s="2"/>
      <c r="K684" s="2"/>
      <c r="L684" s="2"/>
      <c r="M684" s="2"/>
      <c r="N684" s="2"/>
      <c r="AD684" s="2"/>
      <c r="AE684" s="2"/>
      <c r="BA684" s="2"/>
      <c r="BD684" s="2"/>
      <c r="BF684" s="2"/>
      <c r="BH684" s="2"/>
      <c r="BI684" s="2"/>
      <c r="BJ684" s="2"/>
    </row>
    <row r="685" ht="14.25" customHeight="1">
      <c r="E685" s="2"/>
      <c r="K685" s="2"/>
      <c r="L685" s="2"/>
      <c r="M685" s="2"/>
      <c r="N685" s="2"/>
      <c r="AD685" s="2"/>
      <c r="AE685" s="2"/>
      <c r="BA685" s="2"/>
      <c r="BD685" s="2"/>
      <c r="BF685" s="2"/>
      <c r="BH685" s="2"/>
      <c r="BI685" s="2"/>
      <c r="BJ685" s="2"/>
    </row>
    <row r="686" ht="14.25" customHeight="1">
      <c r="E686" s="2"/>
      <c r="K686" s="2"/>
      <c r="L686" s="2"/>
      <c r="M686" s="2"/>
      <c r="N686" s="2"/>
      <c r="AD686" s="2"/>
      <c r="AE686" s="2"/>
      <c r="BA686" s="2"/>
      <c r="BD686" s="2"/>
      <c r="BF686" s="2"/>
      <c r="BH686" s="2"/>
      <c r="BI686" s="2"/>
      <c r="BJ686" s="2"/>
    </row>
    <row r="687" ht="14.25" customHeight="1">
      <c r="E687" s="2"/>
      <c r="K687" s="2"/>
      <c r="L687" s="2"/>
      <c r="M687" s="2"/>
      <c r="N687" s="2"/>
      <c r="AD687" s="2"/>
      <c r="AE687" s="2"/>
      <c r="BA687" s="2"/>
      <c r="BD687" s="2"/>
      <c r="BF687" s="2"/>
      <c r="BH687" s="2"/>
      <c r="BI687" s="2"/>
      <c r="BJ687" s="2"/>
    </row>
    <row r="688" ht="14.25" customHeight="1">
      <c r="E688" s="2"/>
      <c r="K688" s="2"/>
      <c r="L688" s="2"/>
      <c r="M688" s="2"/>
      <c r="N688" s="2"/>
      <c r="AD688" s="2"/>
      <c r="AE688" s="2"/>
      <c r="BA688" s="2"/>
      <c r="BD688" s="2"/>
      <c r="BF688" s="2"/>
      <c r="BH688" s="2"/>
      <c r="BI688" s="2"/>
      <c r="BJ688" s="2"/>
    </row>
    <row r="689" ht="14.25" customHeight="1">
      <c r="E689" s="2"/>
      <c r="K689" s="2"/>
      <c r="L689" s="2"/>
      <c r="M689" s="2"/>
      <c r="N689" s="2"/>
      <c r="AD689" s="2"/>
      <c r="AE689" s="2"/>
      <c r="BA689" s="2"/>
      <c r="BD689" s="2"/>
      <c r="BF689" s="2"/>
      <c r="BH689" s="2"/>
      <c r="BI689" s="2"/>
      <c r="BJ689" s="2"/>
    </row>
    <row r="690" ht="14.25" customHeight="1">
      <c r="E690" s="2"/>
      <c r="K690" s="2"/>
      <c r="L690" s="2"/>
      <c r="M690" s="2"/>
      <c r="N690" s="2"/>
      <c r="AD690" s="2"/>
      <c r="AE690" s="2"/>
      <c r="BA690" s="2"/>
      <c r="BD690" s="2"/>
      <c r="BF690" s="2"/>
      <c r="BH690" s="2"/>
      <c r="BI690" s="2"/>
      <c r="BJ690" s="2"/>
    </row>
    <row r="691" ht="14.25" customHeight="1">
      <c r="E691" s="2"/>
      <c r="K691" s="2"/>
      <c r="L691" s="2"/>
      <c r="M691" s="2"/>
      <c r="N691" s="2"/>
      <c r="AD691" s="2"/>
      <c r="AE691" s="2"/>
      <c r="BA691" s="2"/>
      <c r="BD691" s="2"/>
      <c r="BF691" s="2"/>
      <c r="BH691" s="2"/>
      <c r="BI691" s="2"/>
      <c r="BJ691" s="2"/>
    </row>
    <row r="692" ht="14.25" customHeight="1">
      <c r="E692" s="2"/>
      <c r="K692" s="2"/>
      <c r="L692" s="2"/>
      <c r="M692" s="2"/>
      <c r="N692" s="2"/>
      <c r="AD692" s="2"/>
      <c r="AE692" s="2"/>
      <c r="BA692" s="2"/>
      <c r="BD692" s="2"/>
      <c r="BF692" s="2"/>
      <c r="BH692" s="2"/>
      <c r="BI692" s="2"/>
      <c r="BJ692" s="2"/>
    </row>
    <row r="693" ht="14.25" customHeight="1">
      <c r="E693" s="2"/>
      <c r="K693" s="2"/>
      <c r="L693" s="2"/>
      <c r="M693" s="2"/>
      <c r="N693" s="2"/>
      <c r="AD693" s="2"/>
      <c r="AE693" s="2"/>
      <c r="BA693" s="2"/>
      <c r="BD693" s="2"/>
      <c r="BF693" s="2"/>
      <c r="BH693" s="2"/>
      <c r="BI693" s="2"/>
      <c r="BJ693" s="2"/>
    </row>
    <row r="694" ht="14.25" customHeight="1">
      <c r="E694" s="2"/>
      <c r="K694" s="2"/>
      <c r="L694" s="2"/>
      <c r="M694" s="2"/>
      <c r="N694" s="2"/>
      <c r="AD694" s="2"/>
      <c r="AE694" s="2"/>
      <c r="BA694" s="2"/>
      <c r="BD694" s="2"/>
      <c r="BF694" s="2"/>
      <c r="BH694" s="2"/>
      <c r="BI694" s="2"/>
      <c r="BJ694" s="2"/>
    </row>
    <row r="695" ht="14.25" customHeight="1">
      <c r="E695" s="2"/>
      <c r="K695" s="2"/>
      <c r="L695" s="2"/>
      <c r="M695" s="2"/>
      <c r="N695" s="2"/>
      <c r="AD695" s="2"/>
      <c r="AE695" s="2"/>
      <c r="BA695" s="2"/>
      <c r="BD695" s="2"/>
      <c r="BF695" s="2"/>
      <c r="BH695" s="2"/>
      <c r="BI695" s="2"/>
      <c r="BJ695" s="2"/>
    </row>
    <row r="696" ht="14.25" customHeight="1">
      <c r="E696" s="2"/>
      <c r="K696" s="2"/>
      <c r="L696" s="2"/>
      <c r="M696" s="2"/>
      <c r="N696" s="2"/>
      <c r="AD696" s="2"/>
      <c r="AE696" s="2"/>
      <c r="BA696" s="2"/>
      <c r="BD696" s="2"/>
      <c r="BF696" s="2"/>
      <c r="BH696" s="2"/>
      <c r="BI696" s="2"/>
      <c r="BJ696" s="2"/>
    </row>
    <row r="697" ht="14.25" customHeight="1">
      <c r="E697" s="2"/>
      <c r="K697" s="2"/>
      <c r="L697" s="2"/>
      <c r="M697" s="2"/>
      <c r="N697" s="2"/>
      <c r="AD697" s="2"/>
      <c r="AE697" s="2"/>
      <c r="BA697" s="2"/>
      <c r="BD697" s="2"/>
      <c r="BF697" s="2"/>
      <c r="BH697" s="2"/>
      <c r="BI697" s="2"/>
      <c r="BJ697" s="2"/>
    </row>
    <row r="698" ht="14.25" customHeight="1">
      <c r="E698" s="2"/>
      <c r="K698" s="2"/>
      <c r="L698" s="2"/>
      <c r="M698" s="2"/>
      <c r="N698" s="2"/>
      <c r="AD698" s="2"/>
      <c r="AE698" s="2"/>
      <c r="BA698" s="2"/>
      <c r="BD698" s="2"/>
      <c r="BF698" s="2"/>
      <c r="BH698" s="2"/>
      <c r="BI698" s="2"/>
      <c r="BJ698" s="2"/>
    </row>
    <row r="699" ht="14.25" customHeight="1">
      <c r="E699" s="2"/>
      <c r="K699" s="2"/>
      <c r="L699" s="2"/>
      <c r="M699" s="2"/>
      <c r="N699" s="2"/>
      <c r="AD699" s="2"/>
      <c r="AE699" s="2"/>
      <c r="BA699" s="2"/>
      <c r="BD699" s="2"/>
      <c r="BF699" s="2"/>
      <c r="BH699" s="2"/>
      <c r="BI699" s="2"/>
      <c r="BJ699" s="2"/>
    </row>
    <row r="700" ht="14.25" customHeight="1">
      <c r="E700" s="2"/>
      <c r="K700" s="2"/>
      <c r="L700" s="2"/>
      <c r="M700" s="2"/>
      <c r="N700" s="2"/>
      <c r="AD700" s="2"/>
      <c r="AE700" s="2"/>
      <c r="BA700" s="2"/>
      <c r="BD700" s="2"/>
      <c r="BF700" s="2"/>
      <c r="BH700" s="2"/>
      <c r="BI700" s="2"/>
      <c r="BJ700" s="2"/>
    </row>
    <row r="701" ht="14.25" customHeight="1">
      <c r="E701" s="2"/>
      <c r="K701" s="2"/>
      <c r="L701" s="2"/>
      <c r="M701" s="2"/>
      <c r="N701" s="2"/>
      <c r="AD701" s="2"/>
      <c r="AE701" s="2"/>
      <c r="BA701" s="2"/>
      <c r="BD701" s="2"/>
      <c r="BF701" s="2"/>
      <c r="BH701" s="2"/>
      <c r="BI701" s="2"/>
      <c r="BJ701" s="2"/>
    </row>
    <row r="702" ht="14.25" customHeight="1">
      <c r="E702" s="2"/>
      <c r="K702" s="2"/>
      <c r="L702" s="2"/>
      <c r="M702" s="2"/>
      <c r="N702" s="2"/>
      <c r="AD702" s="2"/>
      <c r="AE702" s="2"/>
      <c r="BA702" s="2"/>
      <c r="BD702" s="2"/>
      <c r="BF702" s="2"/>
      <c r="BH702" s="2"/>
      <c r="BI702" s="2"/>
      <c r="BJ702" s="2"/>
    </row>
    <row r="703" ht="14.25" customHeight="1">
      <c r="E703" s="2"/>
      <c r="K703" s="2"/>
      <c r="L703" s="2"/>
      <c r="M703" s="2"/>
      <c r="N703" s="2"/>
      <c r="AD703" s="2"/>
      <c r="AE703" s="2"/>
      <c r="BA703" s="2"/>
      <c r="BD703" s="2"/>
      <c r="BF703" s="2"/>
      <c r="BH703" s="2"/>
      <c r="BI703" s="2"/>
      <c r="BJ703" s="2"/>
    </row>
    <row r="704" ht="14.25" customHeight="1">
      <c r="E704" s="2"/>
      <c r="K704" s="2"/>
      <c r="L704" s="2"/>
      <c r="M704" s="2"/>
      <c r="N704" s="2"/>
      <c r="AD704" s="2"/>
      <c r="AE704" s="2"/>
      <c r="BA704" s="2"/>
      <c r="BD704" s="2"/>
      <c r="BF704" s="2"/>
      <c r="BH704" s="2"/>
      <c r="BI704" s="2"/>
      <c r="BJ704" s="2"/>
    </row>
    <row r="705" ht="14.25" customHeight="1">
      <c r="E705" s="2"/>
      <c r="K705" s="2"/>
      <c r="L705" s="2"/>
      <c r="M705" s="2"/>
      <c r="N705" s="2"/>
      <c r="AD705" s="2"/>
      <c r="AE705" s="2"/>
      <c r="BA705" s="2"/>
      <c r="BD705" s="2"/>
      <c r="BF705" s="2"/>
      <c r="BH705" s="2"/>
      <c r="BI705" s="2"/>
      <c r="BJ705" s="2"/>
    </row>
    <row r="706" ht="14.25" customHeight="1">
      <c r="E706" s="2"/>
      <c r="K706" s="2"/>
      <c r="L706" s="2"/>
      <c r="M706" s="2"/>
      <c r="N706" s="2"/>
      <c r="AD706" s="2"/>
      <c r="AE706" s="2"/>
      <c r="BA706" s="2"/>
      <c r="BD706" s="2"/>
      <c r="BF706" s="2"/>
      <c r="BH706" s="2"/>
      <c r="BI706" s="2"/>
      <c r="BJ706" s="2"/>
    </row>
    <row r="707" ht="14.25" customHeight="1">
      <c r="E707" s="2"/>
      <c r="K707" s="2"/>
      <c r="L707" s="2"/>
      <c r="M707" s="2"/>
      <c r="N707" s="2"/>
      <c r="AD707" s="2"/>
      <c r="AE707" s="2"/>
      <c r="BA707" s="2"/>
      <c r="BD707" s="2"/>
      <c r="BF707" s="2"/>
      <c r="BH707" s="2"/>
      <c r="BI707" s="2"/>
      <c r="BJ707" s="2"/>
    </row>
    <row r="708" ht="14.25" customHeight="1">
      <c r="E708" s="2"/>
      <c r="K708" s="2"/>
      <c r="L708" s="2"/>
      <c r="M708" s="2"/>
      <c r="N708" s="2"/>
      <c r="AD708" s="2"/>
      <c r="AE708" s="2"/>
      <c r="BA708" s="2"/>
      <c r="BD708" s="2"/>
      <c r="BF708" s="2"/>
      <c r="BH708" s="2"/>
      <c r="BI708" s="2"/>
      <c r="BJ708" s="2"/>
    </row>
    <row r="709" ht="14.25" customHeight="1">
      <c r="E709" s="2"/>
      <c r="K709" s="2"/>
      <c r="L709" s="2"/>
      <c r="M709" s="2"/>
      <c r="N709" s="2"/>
      <c r="AD709" s="2"/>
      <c r="AE709" s="2"/>
      <c r="BA709" s="2"/>
      <c r="BD709" s="2"/>
      <c r="BF709" s="2"/>
      <c r="BH709" s="2"/>
      <c r="BI709" s="2"/>
      <c r="BJ709" s="2"/>
    </row>
    <row r="710" ht="14.25" customHeight="1">
      <c r="E710" s="2"/>
      <c r="K710" s="2"/>
      <c r="L710" s="2"/>
      <c r="M710" s="2"/>
      <c r="N710" s="2"/>
      <c r="AD710" s="2"/>
      <c r="AE710" s="2"/>
      <c r="BA710" s="2"/>
      <c r="BD710" s="2"/>
      <c r="BF710" s="2"/>
      <c r="BH710" s="2"/>
      <c r="BI710" s="2"/>
      <c r="BJ710" s="2"/>
    </row>
    <row r="711" ht="14.25" customHeight="1">
      <c r="E711" s="2"/>
      <c r="K711" s="2"/>
      <c r="L711" s="2"/>
      <c r="M711" s="2"/>
      <c r="N711" s="2"/>
      <c r="AD711" s="2"/>
      <c r="AE711" s="2"/>
      <c r="BA711" s="2"/>
      <c r="BD711" s="2"/>
      <c r="BF711" s="2"/>
      <c r="BH711" s="2"/>
      <c r="BI711" s="2"/>
      <c r="BJ711" s="2"/>
    </row>
    <row r="712" ht="14.25" customHeight="1">
      <c r="E712" s="2"/>
      <c r="K712" s="2"/>
      <c r="L712" s="2"/>
      <c r="M712" s="2"/>
      <c r="N712" s="2"/>
      <c r="AD712" s="2"/>
      <c r="AE712" s="2"/>
      <c r="BA712" s="2"/>
      <c r="BD712" s="2"/>
      <c r="BF712" s="2"/>
      <c r="BH712" s="2"/>
      <c r="BI712" s="2"/>
      <c r="BJ712" s="2"/>
    </row>
    <row r="713" ht="14.25" customHeight="1">
      <c r="E713" s="2"/>
      <c r="K713" s="2"/>
      <c r="L713" s="2"/>
      <c r="M713" s="2"/>
      <c r="N713" s="2"/>
      <c r="AD713" s="2"/>
      <c r="AE713" s="2"/>
      <c r="BA713" s="2"/>
      <c r="BD713" s="2"/>
      <c r="BF713" s="2"/>
      <c r="BH713" s="2"/>
      <c r="BI713" s="2"/>
      <c r="BJ713" s="2"/>
    </row>
    <row r="714" ht="14.25" customHeight="1">
      <c r="E714" s="2"/>
      <c r="K714" s="2"/>
      <c r="L714" s="2"/>
      <c r="M714" s="2"/>
      <c r="N714" s="2"/>
      <c r="AD714" s="2"/>
      <c r="AE714" s="2"/>
      <c r="BA714" s="2"/>
      <c r="BD714" s="2"/>
      <c r="BF714" s="2"/>
      <c r="BH714" s="2"/>
      <c r="BI714" s="2"/>
      <c r="BJ714" s="2"/>
    </row>
    <row r="715" ht="14.25" customHeight="1">
      <c r="E715" s="2"/>
      <c r="K715" s="2"/>
      <c r="L715" s="2"/>
      <c r="M715" s="2"/>
      <c r="N715" s="2"/>
      <c r="AD715" s="2"/>
      <c r="AE715" s="2"/>
      <c r="BA715" s="2"/>
      <c r="BD715" s="2"/>
      <c r="BF715" s="2"/>
      <c r="BH715" s="2"/>
      <c r="BI715" s="2"/>
      <c r="BJ715" s="2"/>
    </row>
    <row r="716" ht="14.25" customHeight="1">
      <c r="E716" s="2"/>
      <c r="K716" s="2"/>
      <c r="L716" s="2"/>
      <c r="M716" s="2"/>
      <c r="N716" s="2"/>
      <c r="AD716" s="2"/>
      <c r="AE716" s="2"/>
      <c r="BA716" s="2"/>
      <c r="BD716" s="2"/>
      <c r="BF716" s="2"/>
      <c r="BH716" s="2"/>
      <c r="BI716" s="2"/>
      <c r="BJ716" s="2"/>
    </row>
    <row r="717" ht="14.25" customHeight="1">
      <c r="E717" s="2"/>
      <c r="K717" s="2"/>
      <c r="L717" s="2"/>
      <c r="M717" s="2"/>
      <c r="N717" s="2"/>
      <c r="AD717" s="2"/>
      <c r="AE717" s="2"/>
      <c r="BA717" s="2"/>
      <c r="BD717" s="2"/>
      <c r="BF717" s="2"/>
      <c r="BH717" s="2"/>
      <c r="BI717" s="2"/>
      <c r="BJ717" s="2"/>
    </row>
    <row r="718" ht="14.25" customHeight="1">
      <c r="E718" s="2"/>
      <c r="K718" s="2"/>
      <c r="L718" s="2"/>
      <c r="M718" s="2"/>
      <c r="N718" s="2"/>
      <c r="AD718" s="2"/>
      <c r="AE718" s="2"/>
      <c r="BA718" s="2"/>
      <c r="BD718" s="2"/>
      <c r="BF718" s="2"/>
      <c r="BH718" s="2"/>
      <c r="BI718" s="2"/>
      <c r="BJ718" s="2"/>
    </row>
    <row r="719" ht="14.25" customHeight="1">
      <c r="E719" s="2"/>
      <c r="K719" s="2"/>
      <c r="L719" s="2"/>
      <c r="M719" s="2"/>
      <c r="N719" s="2"/>
      <c r="AD719" s="2"/>
      <c r="AE719" s="2"/>
      <c r="BA719" s="2"/>
      <c r="BD719" s="2"/>
      <c r="BF719" s="2"/>
      <c r="BH719" s="2"/>
      <c r="BI719" s="2"/>
      <c r="BJ719" s="2"/>
    </row>
    <row r="720" ht="14.25" customHeight="1">
      <c r="E720" s="2"/>
      <c r="K720" s="2"/>
      <c r="L720" s="2"/>
      <c r="M720" s="2"/>
      <c r="N720" s="2"/>
      <c r="AD720" s="2"/>
      <c r="AE720" s="2"/>
      <c r="BA720" s="2"/>
      <c r="BD720" s="2"/>
      <c r="BF720" s="2"/>
      <c r="BH720" s="2"/>
      <c r="BI720" s="2"/>
      <c r="BJ720" s="2"/>
    </row>
    <row r="721" ht="14.25" customHeight="1">
      <c r="E721" s="2"/>
      <c r="K721" s="2"/>
      <c r="L721" s="2"/>
      <c r="M721" s="2"/>
      <c r="N721" s="2"/>
      <c r="AD721" s="2"/>
      <c r="AE721" s="2"/>
      <c r="BA721" s="2"/>
      <c r="BD721" s="2"/>
      <c r="BF721" s="2"/>
      <c r="BH721" s="2"/>
      <c r="BI721" s="2"/>
      <c r="BJ721" s="2"/>
    </row>
    <row r="722" ht="14.25" customHeight="1">
      <c r="E722" s="2"/>
      <c r="K722" s="2"/>
      <c r="L722" s="2"/>
      <c r="M722" s="2"/>
      <c r="N722" s="2"/>
      <c r="AD722" s="2"/>
      <c r="AE722" s="2"/>
      <c r="BA722" s="2"/>
      <c r="BD722" s="2"/>
      <c r="BF722" s="2"/>
      <c r="BH722" s="2"/>
      <c r="BI722" s="2"/>
      <c r="BJ722" s="2"/>
    </row>
    <row r="723" ht="14.25" customHeight="1">
      <c r="E723" s="2"/>
      <c r="K723" s="2"/>
      <c r="L723" s="2"/>
      <c r="M723" s="2"/>
      <c r="N723" s="2"/>
      <c r="AD723" s="2"/>
      <c r="AE723" s="2"/>
      <c r="BA723" s="2"/>
      <c r="BD723" s="2"/>
      <c r="BF723" s="2"/>
      <c r="BH723" s="2"/>
      <c r="BI723" s="2"/>
      <c r="BJ723" s="2"/>
    </row>
    <row r="724" ht="14.25" customHeight="1">
      <c r="E724" s="2"/>
      <c r="K724" s="2"/>
      <c r="L724" s="2"/>
      <c r="M724" s="2"/>
      <c r="N724" s="2"/>
      <c r="AD724" s="2"/>
      <c r="AE724" s="2"/>
      <c r="BA724" s="2"/>
      <c r="BD724" s="2"/>
      <c r="BF724" s="2"/>
      <c r="BH724" s="2"/>
      <c r="BI724" s="2"/>
      <c r="BJ724" s="2"/>
    </row>
    <row r="725" ht="14.25" customHeight="1">
      <c r="E725" s="2"/>
      <c r="K725" s="2"/>
      <c r="L725" s="2"/>
      <c r="M725" s="2"/>
      <c r="N725" s="2"/>
      <c r="AD725" s="2"/>
      <c r="AE725" s="2"/>
      <c r="BA725" s="2"/>
      <c r="BD725" s="2"/>
      <c r="BF725" s="2"/>
      <c r="BH725" s="2"/>
      <c r="BI725" s="2"/>
      <c r="BJ725" s="2"/>
    </row>
    <row r="726" ht="14.25" customHeight="1">
      <c r="E726" s="2"/>
      <c r="K726" s="2"/>
      <c r="L726" s="2"/>
      <c r="M726" s="2"/>
      <c r="N726" s="2"/>
      <c r="AD726" s="2"/>
      <c r="AE726" s="2"/>
      <c r="BA726" s="2"/>
      <c r="BD726" s="2"/>
      <c r="BF726" s="2"/>
      <c r="BH726" s="2"/>
      <c r="BI726" s="2"/>
      <c r="BJ726" s="2"/>
    </row>
    <row r="727" ht="14.25" customHeight="1">
      <c r="E727" s="2"/>
      <c r="K727" s="2"/>
      <c r="L727" s="2"/>
      <c r="M727" s="2"/>
      <c r="N727" s="2"/>
      <c r="AD727" s="2"/>
      <c r="AE727" s="2"/>
      <c r="BA727" s="2"/>
      <c r="BD727" s="2"/>
      <c r="BF727" s="2"/>
      <c r="BH727" s="2"/>
      <c r="BI727" s="2"/>
      <c r="BJ727" s="2"/>
    </row>
    <row r="728" ht="14.25" customHeight="1">
      <c r="E728" s="2"/>
      <c r="K728" s="2"/>
      <c r="L728" s="2"/>
      <c r="M728" s="2"/>
      <c r="N728" s="2"/>
      <c r="AD728" s="2"/>
      <c r="AE728" s="2"/>
      <c r="BA728" s="2"/>
      <c r="BD728" s="2"/>
      <c r="BF728" s="2"/>
      <c r="BH728" s="2"/>
      <c r="BI728" s="2"/>
      <c r="BJ728" s="2"/>
    </row>
    <row r="729" ht="14.25" customHeight="1">
      <c r="E729" s="2"/>
      <c r="K729" s="2"/>
      <c r="L729" s="2"/>
      <c r="M729" s="2"/>
      <c r="N729" s="2"/>
      <c r="AD729" s="2"/>
      <c r="AE729" s="2"/>
      <c r="BA729" s="2"/>
      <c r="BD729" s="2"/>
      <c r="BF729" s="2"/>
      <c r="BH729" s="2"/>
      <c r="BI729" s="2"/>
      <c r="BJ729" s="2"/>
    </row>
    <row r="730" ht="14.25" customHeight="1">
      <c r="E730" s="2"/>
      <c r="K730" s="2"/>
      <c r="L730" s="2"/>
      <c r="M730" s="2"/>
      <c r="N730" s="2"/>
      <c r="AD730" s="2"/>
      <c r="AE730" s="2"/>
      <c r="BA730" s="2"/>
      <c r="BD730" s="2"/>
      <c r="BF730" s="2"/>
      <c r="BH730" s="2"/>
      <c r="BI730" s="2"/>
      <c r="BJ730" s="2"/>
    </row>
    <row r="731" ht="14.25" customHeight="1">
      <c r="E731" s="2"/>
      <c r="K731" s="2"/>
      <c r="L731" s="2"/>
      <c r="M731" s="2"/>
      <c r="N731" s="2"/>
      <c r="AD731" s="2"/>
      <c r="AE731" s="2"/>
      <c r="BA731" s="2"/>
      <c r="BD731" s="2"/>
      <c r="BF731" s="2"/>
      <c r="BH731" s="2"/>
      <c r="BI731" s="2"/>
      <c r="BJ731" s="2"/>
    </row>
    <row r="732" ht="14.25" customHeight="1">
      <c r="E732" s="2"/>
      <c r="K732" s="2"/>
      <c r="L732" s="2"/>
      <c r="M732" s="2"/>
      <c r="N732" s="2"/>
      <c r="AD732" s="2"/>
      <c r="AE732" s="2"/>
      <c r="BA732" s="2"/>
      <c r="BD732" s="2"/>
      <c r="BF732" s="2"/>
      <c r="BH732" s="2"/>
      <c r="BI732" s="2"/>
      <c r="BJ732" s="2"/>
    </row>
    <row r="733" ht="14.25" customHeight="1">
      <c r="E733" s="2"/>
      <c r="K733" s="2"/>
      <c r="L733" s="2"/>
      <c r="M733" s="2"/>
      <c r="N733" s="2"/>
      <c r="AD733" s="2"/>
      <c r="AE733" s="2"/>
      <c r="BA733" s="2"/>
      <c r="BD733" s="2"/>
      <c r="BF733" s="2"/>
      <c r="BH733" s="2"/>
      <c r="BI733" s="2"/>
      <c r="BJ733" s="2"/>
    </row>
    <row r="734" ht="14.25" customHeight="1">
      <c r="E734" s="2"/>
      <c r="K734" s="2"/>
      <c r="L734" s="2"/>
      <c r="M734" s="2"/>
      <c r="N734" s="2"/>
      <c r="AD734" s="2"/>
      <c r="AE734" s="2"/>
      <c r="BA734" s="2"/>
      <c r="BD734" s="2"/>
      <c r="BF734" s="2"/>
      <c r="BH734" s="2"/>
      <c r="BI734" s="2"/>
      <c r="BJ734" s="2"/>
    </row>
    <row r="735" ht="14.25" customHeight="1">
      <c r="E735" s="2"/>
      <c r="K735" s="2"/>
      <c r="L735" s="2"/>
      <c r="M735" s="2"/>
      <c r="N735" s="2"/>
      <c r="AD735" s="2"/>
      <c r="AE735" s="2"/>
      <c r="BA735" s="2"/>
      <c r="BD735" s="2"/>
      <c r="BF735" s="2"/>
      <c r="BH735" s="2"/>
      <c r="BI735" s="2"/>
      <c r="BJ735" s="2"/>
    </row>
    <row r="736" ht="14.25" customHeight="1">
      <c r="E736" s="2"/>
      <c r="K736" s="2"/>
      <c r="L736" s="2"/>
      <c r="M736" s="2"/>
      <c r="N736" s="2"/>
      <c r="AD736" s="2"/>
      <c r="AE736" s="2"/>
      <c r="BA736" s="2"/>
      <c r="BD736" s="2"/>
      <c r="BF736" s="2"/>
      <c r="BH736" s="2"/>
      <c r="BI736" s="2"/>
      <c r="BJ736" s="2"/>
    </row>
    <row r="737" ht="14.25" customHeight="1">
      <c r="E737" s="2"/>
      <c r="K737" s="2"/>
      <c r="L737" s="2"/>
      <c r="M737" s="2"/>
      <c r="N737" s="2"/>
      <c r="AD737" s="2"/>
      <c r="AE737" s="2"/>
      <c r="BA737" s="2"/>
      <c r="BD737" s="2"/>
      <c r="BF737" s="2"/>
      <c r="BH737" s="2"/>
      <c r="BI737" s="2"/>
      <c r="BJ737" s="2"/>
    </row>
    <row r="738" ht="14.25" customHeight="1">
      <c r="E738" s="2"/>
      <c r="K738" s="2"/>
      <c r="L738" s="2"/>
      <c r="M738" s="2"/>
      <c r="N738" s="2"/>
      <c r="AD738" s="2"/>
      <c r="AE738" s="2"/>
      <c r="BA738" s="2"/>
      <c r="BD738" s="2"/>
      <c r="BF738" s="2"/>
      <c r="BH738" s="2"/>
      <c r="BI738" s="2"/>
      <c r="BJ738" s="2"/>
    </row>
    <row r="739" ht="14.25" customHeight="1">
      <c r="E739" s="2"/>
      <c r="K739" s="2"/>
      <c r="L739" s="2"/>
      <c r="M739" s="2"/>
      <c r="N739" s="2"/>
      <c r="AD739" s="2"/>
      <c r="AE739" s="2"/>
      <c r="BA739" s="2"/>
      <c r="BD739" s="2"/>
      <c r="BF739" s="2"/>
      <c r="BH739" s="2"/>
      <c r="BI739" s="2"/>
      <c r="BJ739" s="2"/>
    </row>
    <row r="740" ht="14.25" customHeight="1">
      <c r="E740" s="2"/>
      <c r="K740" s="2"/>
      <c r="L740" s="2"/>
      <c r="M740" s="2"/>
      <c r="N740" s="2"/>
      <c r="AD740" s="2"/>
      <c r="AE740" s="2"/>
      <c r="BA740" s="2"/>
      <c r="BD740" s="2"/>
      <c r="BF740" s="2"/>
      <c r="BH740" s="2"/>
      <c r="BI740" s="2"/>
      <c r="BJ740" s="2"/>
    </row>
    <row r="741" ht="14.25" customHeight="1">
      <c r="E741" s="2"/>
      <c r="K741" s="2"/>
      <c r="L741" s="2"/>
      <c r="M741" s="2"/>
      <c r="N741" s="2"/>
      <c r="AD741" s="2"/>
      <c r="AE741" s="2"/>
      <c r="BA741" s="2"/>
      <c r="BD741" s="2"/>
      <c r="BF741" s="2"/>
      <c r="BH741" s="2"/>
      <c r="BI741" s="2"/>
      <c r="BJ741" s="2"/>
    </row>
    <row r="742" ht="14.25" customHeight="1">
      <c r="E742" s="2"/>
      <c r="K742" s="2"/>
      <c r="L742" s="2"/>
      <c r="M742" s="2"/>
      <c r="N742" s="2"/>
      <c r="AD742" s="2"/>
      <c r="AE742" s="2"/>
      <c r="BA742" s="2"/>
      <c r="BD742" s="2"/>
      <c r="BF742" s="2"/>
      <c r="BH742" s="2"/>
      <c r="BI742" s="2"/>
      <c r="BJ742" s="2"/>
    </row>
    <row r="743" ht="14.25" customHeight="1">
      <c r="E743" s="2"/>
      <c r="K743" s="2"/>
      <c r="L743" s="2"/>
      <c r="M743" s="2"/>
      <c r="N743" s="2"/>
      <c r="AD743" s="2"/>
      <c r="AE743" s="2"/>
      <c r="BA743" s="2"/>
      <c r="BD743" s="2"/>
      <c r="BF743" s="2"/>
      <c r="BH743" s="2"/>
      <c r="BI743" s="2"/>
      <c r="BJ743" s="2"/>
    </row>
    <row r="744" ht="14.25" customHeight="1">
      <c r="E744" s="2"/>
      <c r="K744" s="2"/>
      <c r="L744" s="2"/>
      <c r="M744" s="2"/>
      <c r="N744" s="2"/>
      <c r="AD744" s="2"/>
      <c r="AE744" s="2"/>
      <c r="BA744" s="2"/>
      <c r="BD744" s="2"/>
      <c r="BF744" s="2"/>
      <c r="BH744" s="2"/>
      <c r="BI744" s="2"/>
      <c r="BJ744" s="2"/>
    </row>
    <row r="745" ht="14.25" customHeight="1">
      <c r="E745" s="2"/>
      <c r="K745" s="2"/>
      <c r="L745" s="2"/>
      <c r="M745" s="2"/>
      <c r="N745" s="2"/>
      <c r="AD745" s="2"/>
      <c r="AE745" s="2"/>
      <c r="BA745" s="2"/>
      <c r="BD745" s="2"/>
      <c r="BF745" s="2"/>
      <c r="BH745" s="2"/>
      <c r="BI745" s="2"/>
      <c r="BJ745" s="2"/>
    </row>
    <row r="746" ht="14.25" customHeight="1">
      <c r="E746" s="2"/>
      <c r="K746" s="2"/>
      <c r="L746" s="2"/>
      <c r="M746" s="2"/>
      <c r="N746" s="2"/>
      <c r="AD746" s="2"/>
      <c r="AE746" s="2"/>
      <c r="BA746" s="2"/>
      <c r="BD746" s="2"/>
      <c r="BF746" s="2"/>
      <c r="BH746" s="2"/>
      <c r="BI746" s="2"/>
      <c r="BJ746" s="2"/>
    </row>
    <row r="747" ht="14.25" customHeight="1">
      <c r="E747" s="2"/>
      <c r="K747" s="2"/>
      <c r="L747" s="2"/>
      <c r="M747" s="2"/>
      <c r="N747" s="2"/>
      <c r="AD747" s="2"/>
      <c r="AE747" s="2"/>
      <c r="BA747" s="2"/>
      <c r="BD747" s="2"/>
      <c r="BF747" s="2"/>
      <c r="BH747" s="2"/>
      <c r="BI747" s="2"/>
      <c r="BJ747" s="2"/>
    </row>
    <row r="748" ht="14.25" customHeight="1">
      <c r="E748" s="2"/>
      <c r="K748" s="2"/>
      <c r="L748" s="2"/>
      <c r="M748" s="2"/>
      <c r="N748" s="2"/>
      <c r="AD748" s="2"/>
      <c r="AE748" s="2"/>
      <c r="BA748" s="2"/>
      <c r="BD748" s="2"/>
      <c r="BF748" s="2"/>
      <c r="BH748" s="2"/>
      <c r="BI748" s="2"/>
      <c r="BJ748" s="2"/>
    </row>
    <row r="749" ht="14.25" customHeight="1">
      <c r="E749" s="2"/>
      <c r="K749" s="2"/>
      <c r="L749" s="2"/>
      <c r="M749" s="2"/>
      <c r="N749" s="2"/>
      <c r="AD749" s="2"/>
      <c r="AE749" s="2"/>
      <c r="BA749" s="2"/>
      <c r="BD749" s="2"/>
      <c r="BF749" s="2"/>
      <c r="BH749" s="2"/>
      <c r="BI749" s="2"/>
      <c r="BJ749" s="2"/>
    </row>
    <row r="750" ht="14.25" customHeight="1">
      <c r="E750" s="2"/>
      <c r="K750" s="2"/>
      <c r="L750" s="2"/>
      <c r="M750" s="2"/>
      <c r="N750" s="2"/>
      <c r="AD750" s="2"/>
      <c r="AE750" s="2"/>
      <c r="BA750" s="2"/>
      <c r="BD750" s="2"/>
      <c r="BF750" s="2"/>
      <c r="BH750" s="2"/>
      <c r="BI750" s="2"/>
      <c r="BJ750" s="2"/>
    </row>
    <row r="751" ht="14.25" customHeight="1">
      <c r="E751" s="2"/>
      <c r="K751" s="2"/>
      <c r="L751" s="2"/>
      <c r="M751" s="2"/>
      <c r="N751" s="2"/>
      <c r="AD751" s="2"/>
      <c r="AE751" s="2"/>
      <c r="BA751" s="2"/>
      <c r="BD751" s="2"/>
      <c r="BF751" s="2"/>
      <c r="BH751" s="2"/>
      <c r="BI751" s="2"/>
      <c r="BJ751" s="2"/>
    </row>
    <row r="752" ht="14.25" customHeight="1">
      <c r="E752" s="2"/>
      <c r="K752" s="2"/>
      <c r="L752" s="2"/>
      <c r="M752" s="2"/>
      <c r="N752" s="2"/>
      <c r="AD752" s="2"/>
      <c r="AE752" s="2"/>
      <c r="BA752" s="2"/>
      <c r="BD752" s="2"/>
      <c r="BF752" s="2"/>
      <c r="BH752" s="2"/>
      <c r="BI752" s="2"/>
      <c r="BJ752" s="2"/>
    </row>
    <row r="753" ht="14.25" customHeight="1">
      <c r="E753" s="2"/>
      <c r="K753" s="2"/>
      <c r="L753" s="2"/>
      <c r="M753" s="2"/>
      <c r="N753" s="2"/>
      <c r="AD753" s="2"/>
      <c r="AE753" s="2"/>
      <c r="BA753" s="2"/>
      <c r="BD753" s="2"/>
      <c r="BF753" s="2"/>
      <c r="BH753" s="2"/>
      <c r="BI753" s="2"/>
      <c r="BJ753" s="2"/>
    </row>
    <row r="754" ht="14.25" customHeight="1">
      <c r="E754" s="2"/>
      <c r="K754" s="2"/>
      <c r="L754" s="2"/>
      <c r="M754" s="2"/>
      <c r="N754" s="2"/>
      <c r="AD754" s="2"/>
      <c r="AE754" s="2"/>
      <c r="BA754" s="2"/>
      <c r="BD754" s="2"/>
      <c r="BF754" s="2"/>
      <c r="BH754" s="2"/>
      <c r="BI754" s="2"/>
      <c r="BJ754" s="2"/>
    </row>
    <row r="755" ht="14.25" customHeight="1">
      <c r="E755" s="2"/>
      <c r="K755" s="2"/>
      <c r="L755" s="2"/>
      <c r="M755" s="2"/>
      <c r="N755" s="2"/>
      <c r="AD755" s="2"/>
      <c r="AE755" s="2"/>
      <c r="BA755" s="2"/>
      <c r="BD755" s="2"/>
      <c r="BF755" s="2"/>
      <c r="BH755" s="2"/>
      <c r="BI755" s="2"/>
      <c r="BJ755" s="2"/>
    </row>
    <row r="756" ht="14.25" customHeight="1">
      <c r="E756" s="2"/>
      <c r="K756" s="2"/>
      <c r="L756" s="2"/>
      <c r="M756" s="2"/>
      <c r="N756" s="2"/>
      <c r="AD756" s="2"/>
      <c r="AE756" s="2"/>
      <c r="BA756" s="2"/>
      <c r="BD756" s="2"/>
      <c r="BF756" s="2"/>
      <c r="BH756" s="2"/>
      <c r="BI756" s="2"/>
      <c r="BJ756" s="2"/>
    </row>
    <row r="757" ht="14.25" customHeight="1">
      <c r="E757" s="2"/>
      <c r="K757" s="2"/>
      <c r="L757" s="2"/>
      <c r="M757" s="2"/>
      <c r="N757" s="2"/>
      <c r="AD757" s="2"/>
      <c r="AE757" s="2"/>
      <c r="BA757" s="2"/>
      <c r="BD757" s="2"/>
      <c r="BF757" s="2"/>
      <c r="BH757" s="2"/>
      <c r="BI757" s="2"/>
      <c r="BJ757" s="2"/>
    </row>
    <row r="758" ht="14.25" customHeight="1">
      <c r="E758" s="2"/>
      <c r="K758" s="2"/>
      <c r="L758" s="2"/>
      <c r="M758" s="2"/>
      <c r="N758" s="2"/>
      <c r="AD758" s="2"/>
      <c r="AE758" s="2"/>
      <c r="BA758" s="2"/>
      <c r="BD758" s="2"/>
      <c r="BF758" s="2"/>
      <c r="BH758" s="2"/>
      <c r="BI758" s="2"/>
      <c r="BJ758" s="2"/>
    </row>
    <row r="759" ht="14.25" customHeight="1">
      <c r="E759" s="2"/>
      <c r="K759" s="2"/>
      <c r="L759" s="2"/>
      <c r="M759" s="2"/>
      <c r="N759" s="2"/>
      <c r="AD759" s="2"/>
      <c r="AE759" s="2"/>
      <c r="BA759" s="2"/>
      <c r="BD759" s="2"/>
      <c r="BF759" s="2"/>
      <c r="BH759" s="2"/>
      <c r="BI759" s="2"/>
      <c r="BJ759" s="2"/>
    </row>
    <row r="760" ht="14.25" customHeight="1">
      <c r="E760" s="2"/>
      <c r="K760" s="2"/>
      <c r="L760" s="2"/>
      <c r="M760" s="2"/>
      <c r="N760" s="2"/>
      <c r="AD760" s="2"/>
      <c r="AE760" s="2"/>
      <c r="BA760" s="2"/>
      <c r="BD760" s="2"/>
      <c r="BF760" s="2"/>
      <c r="BH760" s="2"/>
      <c r="BI760" s="2"/>
      <c r="BJ760" s="2"/>
    </row>
    <row r="761" ht="14.25" customHeight="1">
      <c r="E761" s="2"/>
      <c r="K761" s="2"/>
      <c r="L761" s="2"/>
      <c r="M761" s="2"/>
      <c r="N761" s="2"/>
      <c r="AD761" s="2"/>
      <c r="AE761" s="2"/>
      <c r="BA761" s="2"/>
      <c r="BD761" s="2"/>
      <c r="BF761" s="2"/>
      <c r="BH761" s="2"/>
      <c r="BI761" s="2"/>
      <c r="BJ761" s="2"/>
    </row>
    <row r="762" ht="14.25" customHeight="1">
      <c r="E762" s="2"/>
      <c r="K762" s="2"/>
      <c r="L762" s="2"/>
      <c r="M762" s="2"/>
      <c r="N762" s="2"/>
      <c r="AD762" s="2"/>
      <c r="AE762" s="2"/>
      <c r="BA762" s="2"/>
      <c r="BD762" s="2"/>
      <c r="BF762" s="2"/>
      <c r="BH762" s="2"/>
      <c r="BI762" s="2"/>
      <c r="BJ762" s="2"/>
    </row>
    <row r="763" ht="14.25" customHeight="1">
      <c r="E763" s="2"/>
      <c r="K763" s="2"/>
      <c r="L763" s="2"/>
      <c r="M763" s="2"/>
      <c r="N763" s="2"/>
      <c r="AD763" s="2"/>
      <c r="AE763" s="2"/>
      <c r="BA763" s="2"/>
      <c r="BD763" s="2"/>
      <c r="BF763" s="2"/>
      <c r="BH763" s="2"/>
      <c r="BI763" s="2"/>
      <c r="BJ763" s="2"/>
    </row>
    <row r="764" ht="14.25" customHeight="1">
      <c r="E764" s="2"/>
      <c r="K764" s="2"/>
      <c r="L764" s="2"/>
      <c r="M764" s="2"/>
      <c r="N764" s="2"/>
      <c r="AD764" s="2"/>
      <c r="AE764" s="2"/>
      <c r="BA764" s="2"/>
      <c r="BD764" s="2"/>
      <c r="BF764" s="2"/>
      <c r="BH764" s="2"/>
      <c r="BI764" s="2"/>
      <c r="BJ764" s="2"/>
    </row>
    <row r="765" ht="14.25" customHeight="1">
      <c r="E765" s="2"/>
      <c r="K765" s="2"/>
      <c r="L765" s="2"/>
      <c r="M765" s="2"/>
      <c r="N765" s="2"/>
      <c r="AD765" s="2"/>
      <c r="AE765" s="2"/>
      <c r="BA765" s="2"/>
      <c r="BD765" s="2"/>
      <c r="BF765" s="2"/>
      <c r="BH765" s="2"/>
      <c r="BI765" s="2"/>
      <c r="BJ765" s="2"/>
    </row>
    <row r="766" ht="14.25" customHeight="1">
      <c r="E766" s="2"/>
      <c r="K766" s="2"/>
      <c r="L766" s="2"/>
      <c r="M766" s="2"/>
      <c r="N766" s="2"/>
      <c r="AD766" s="2"/>
      <c r="AE766" s="2"/>
      <c r="BA766" s="2"/>
      <c r="BD766" s="2"/>
      <c r="BF766" s="2"/>
      <c r="BH766" s="2"/>
      <c r="BI766" s="2"/>
      <c r="BJ766" s="2"/>
    </row>
    <row r="767" ht="14.25" customHeight="1">
      <c r="E767" s="2"/>
      <c r="K767" s="2"/>
      <c r="L767" s="2"/>
      <c r="M767" s="2"/>
      <c r="N767" s="2"/>
      <c r="AD767" s="2"/>
      <c r="AE767" s="2"/>
      <c r="BA767" s="2"/>
      <c r="BD767" s="2"/>
      <c r="BF767" s="2"/>
      <c r="BH767" s="2"/>
      <c r="BI767" s="2"/>
      <c r="BJ767" s="2"/>
    </row>
    <row r="768" ht="14.25" customHeight="1">
      <c r="E768" s="2"/>
      <c r="K768" s="2"/>
      <c r="L768" s="2"/>
      <c r="M768" s="2"/>
      <c r="N768" s="2"/>
      <c r="AD768" s="2"/>
      <c r="AE768" s="2"/>
      <c r="BA768" s="2"/>
      <c r="BD768" s="2"/>
      <c r="BF768" s="2"/>
      <c r="BH768" s="2"/>
      <c r="BI768" s="2"/>
      <c r="BJ768" s="2"/>
    </row>
    <row r="769" ht="14.25" customHeight="1">
      <c r="E769" s="2"/>
      <c r="K769" s="2"/>
      <c r="L769" s="2"/>
      <c r="M769" s="2"/>
      <c r="N769" s="2"/>
      <c r="AD769" s="2"/>
      <c r="AE769" s="2"/>
      <c r="BA769" s="2"/>
      <c r="BD769" s="2"/>
      <c r="BF769" s="2"/>
      <c r="BH769" s="2"/>
      <c r="BI769" s="2"/>
      <c r="BJ769" s="2"/>
    </row>
    <row r="770" ht="14.25" customHeight="1">
      <c r="E770" s="2"/>
      <c r="K770" s="2"/>
      <c r="L770" s="2"/>
      <c r="M770" s="2"/>
      <c r="N770" s="2"/>
      <c r="AD770" s="2"/>
      <c r="AE770" s="2"/>
      <c r="BA770" s="2"/>
      <c r="BD770" s="2"/>
      <c r="BF770" s="2"/>
      <c r="BH770" s="2"/>
      <c r="BI770" s="2"/>
      <c r="BJ770" s="2"/>
    </row>
    <row r="771" ht="14.25" customHeight="1">
      <c r="E771" s="2"/>
      <c r="K771" s="2"/>
      <c r="L771" s="2"/>
      <c r="M771" s="2"/>
      <c r="N771" s="2"/>
      <c r="AD771" s="2"/>
      <c r="AE771" s="2"/>
      <c r="BA771" s="2"/>
      <c r="BD771" s="2"/>
      <c r="BF771" s="2"/>
      <c r="BH771" s="2"/>
      <c r="BI771" s="2"/>
      <c r="BJ771" s="2"/>
    </row>
    <row r="772" ht="14.25" customHeight="1">
      <c r="E772" s="2"/>
      <c r="K772" s="2"/>
      <c r="L772" s="2"/>
      <c r="M772" s="2"/>
      <c r="N772" s="2"/>
      <c r="AD772" s="2"/>
      <c r="AE772" s="2"/>
      <c r="BA772" s="2"/>
      <c r="BD772" s="2"/>
      <c r="BF772" s="2"/>
      <c r="BH772" s="2"/>
      <c r="BI772" s="2"/>
      <c r="BJ772" s="2"/>
    </row>
    <row r="773" ht="14.25" customHeight="1">
      <c r="E773" s="2"/>
      <c r="K773" s="2"/>
      <c r="L773" s="2"/>
      <c r="M773" s="2"/>
      <c r="N773" s="2"/>
      <c r="AD773" s="2"/>
      <c r="AE773" s="2"/>
      <c r="BA773" s="2"/>
      <c r="BD773" s="2"/>
      <c r="BF773" s="2"/>
      <c r="BH773" s="2"/>
      <c r="BI773" s="2"/>
      <c r="BJ773" s="2"/>
    </row>
    <row r="774" ht="14.25" customHeight="1">
      <c r="E774" s="2"/>
      <c r="K774" s="2"/>
      <c r="L774" s="2"/>
      <c r="M774" s="2"/>
      <c r="N774" s="2"/>
      <c r="AD774" s="2"/>
      <c r="AE774" s="2"/>
      <c r="BA774" s="2"/>
      <c r="BD774" s="2"/>
      <c r="BF774" s="2"/>
      <c r="BH774" s="2"/>
      <c r="BI774" s="2"/>
      <c r="BJ774" s="2"/>
    </row>
    <row r="775" ht="14.25" customHeight="1">
      <c r="E775" s="2"/>
      <c r="K775" s="2"/>
      <c r="L775" s="2"/>
      <c r="M775" s="2"/>
      <c r="N775" s="2"/>
      <c r="AD775" s="2"/>
      <c r="AE775" s="2"/>
      <c r="BA775" s="2"/>
      <c r="BD775" s="2"/>
      <c r="BF775" s="2"/>
      <c r="BH775" s="2"/>
      <c r="BI775" s="2"/>
      <c r="BJ775" s="2"/>
    </row>
    <row r="776" ht="14.25" customHeight="1">
      <c r="E776" s="2"/>
      <c r="K776" s="2"/>
      <c r="L776" s="2"/>
      <c r="M776" s="2"/>
      <c r="N776" s="2"/>
      <c r="AD776" s="2"/>
      <c r="AE776" s="2"/>
      <c r="BA776" s="2"/>
      <c r="BD776" s="2"/>
      <c r="BF776" s="2"/>
      <c r="BH776" s="2"/>
      <c r="BI776" s="2"/>
      <c r="BJ776" s="2"/>
    </row>
    <row r="777" ht="14.25" customHeight="1">
      <c r="E777" s="2"/>
      <c r="K777" s="2"/>
      <c r="L777" s="2"/>
      <c r="M777" s="2"/>
      <c r="N777" s="2"/>
      <c r="AD777" s="2"/>
      <c r="AE777" s="2"/>
      <c r="BA777" s="2"/>
      <c r="BD777" s="2"/>
      <c r="BF777" s="2"/>
      <c r="BH777" s="2"/>
      <c r="BI777" s="2"/>
      <c r="BJ777" s="2"/>
    </row>
    <row r="778" ht="14.25" customHeight="1">
      <c r="E778" s="2"/>
      <c r="K778" s="2"/>
      <c r="L778" s="2"/>
      <c r="M778" s="2"/>
      <c r="N778" s="2"/>
      <c r="AD778" s="2"/>
      <c r="AE778" s="2"/>
      <c r="BA778" s="2"/>
      <c r="BD778" s="2"/>
      <c r="BF778" s="2"/>
      <c r="BH778" s="2"/>
      <c r="BI778" s="2"/>
      <c r="BJ778" s="2"/>
    </row>
    <row r="779" ht="14.25" customHeight="1">
      <c r="E779" s="2"/>
      <c r="K779" s="2"/>
      <c r="L779" s="2"/>
      <c r="M779" s="2"/>
      <c r="N779" s="2"/>
      <c r="AD779" s="2"/>
      <c r="AE779" s="2"/>
      <c r="BA779" s="2"/>
      <c r="BD779" s="2"/>
      <c r="BF779" s="2"/>
      <c r="BH779" s="2"/>
      <c r="BI779" s="2"/>
      <c r="BJ779" s="2"/>
    </row>
    <row r="780" ht="14.25" customHeight="1">
      <c r="E780" s="2"/>
      <c r="K780" s="2"/>
      <c r="L780" s="2"/>
      <c r="M780" s="2"/>
      <c r="N780" s="2"/>
      <c r="AD780" s="2"/>
      <c r="AE780" s="2"/>
      <c r="BA780" s="2"/>
      <c r="BD780" s="2"/>
      <c r="BF780" s="2"/>
      <c r="BH780" s="2"/>
      <c r="BI780" s="2"/>
      <c r="BJ780" s="2"/>
    </row>
    <row r="781" ht="14.25" customHeight="1">
      <c r="E781" s="2"/>
      <c r="K781" s="2"/>
      <c r="L781" s="2"/>
      <c r="M781" s="2"/>
      <c r="N781" s="2"/>
      <c r="AD781" s="2"/>
      <c r="AE781" s="2"/>
      <c r="BA781" s="2"/>
      <c r="BD781" s="2"/>
      <c r="BF781" s="2"/>
      <c r="BH781" s="2"/>
      <c r="BI781" s="2"/>
      <c r="BJ781" s="2"/>
    </row>
    <row r="782" ht="14.25" customHeight="1">
      <c r="E782" s="2"/>
      <c r="K782" s="2"/>
      <c r="L782" s="2"/>
      <c r="M782" s="2"/>
      <c r="N782" s="2"/>
      <c r="AD782" s="2"/>
      <c r="AE782" s="2"/>
      <c r="BA782" s="2"/>
      <c r="BD782" s="2"/>
      <c r="BF782" s="2"/>
      <c r="BH782" s="2"/>
      <c r="BI782" s="2"/>
      <c r="BJ782" s="2"/>
    </row>
    <row r="783" ht="14.25" customHeight="1">
      <c r="E783" s="2"/>
      <c r="K783" s="2"/>
      <c r="L783" s="2"/>
      <c r="M783" s="2"/>
      <c r="N783" s="2"/>
      <c r="AD783" s="2"/>
      <c r="AE783" s="2"/>
      <c r="BA783" s="2"/>
      <c r="BD783" s="2"/>
      <c r="BF783" s="2"/>
      <c r="BH783" s="2"/>
      <c r="BI783" s="2"/>
      <c r="BJ783" s="2"/>
    </row>
    <row r="784" ht="14.25" customHeight="1">
      <c r="E784" s="2"/>
      <c r="K784" s="2"/>
      <c r="L784" s="2"/>
      <c r="M784" s="2"/>
      <c r="N784" s="2"/>
      <c r="AD784" s="2"/>
      <c r="AE784" s="2"/>
      <c r="BA784" s="2"/>
      <c r="BD784" s="2"/>
      <c r="BF784" s="2"/>
      <c r="BH784" s="2"/>
      <c r="BI784" s="2"/>
      <c r="BJ784" s="2"/>
    </row>
    <row r="785" ht="14.25" customHeight="1">
      <c r="E785" s="2"/>
      <c r="K785" s="2"/>
      <c r="L785" s="2"/>
      <c r="M785" s="2"/>
      <c r="N785" s="2"/>
      <c r="AD785" s="2"/>
      <c r="AE785" s="2"/>
      <c r="BA785" s="2"/>
      <c r="BD785" s="2"/>
      <c r="BF785" s="2"/>
      <c r="BH785" s="2"/>
      <c r="BI785" s="2"/>
      <c r="BJ785" s="2"/>
    </row>
    <row r="786" ht="14.25" customHeight="1">
      <c r="E786" s="2"/>
      <c r="K786" s="2"/>
      <c r="L786" s="2"/>
      <c r="M786" s="2"/>
      <c r="N786" s="2"/>
      <c r="AD786" s="2"/>
      <c r="AE786" s="2"/>
      <c r="BA786" s="2"/>
      <c r="BD786" s="2"/>
      <c r="BF786" s="2"/>
      <c r="BH786" s="2"/>
      <c r="BI786" s="2"/>
      <c r="BJ786" s="2"/>
    </row>
    <row r="787" ht="14.25" customHeight="1">
      <c r="E787" s="2"/>
      <c r="K787" s="2"/>
      <c r="L787" s="2"/>
      <c r="M787" s="2"/>
      <c r="N787" s="2"/>
      <c r="AD787" s="2"/>
      <c r="AE787" s="2"/>
      <c r="BA787" s="2"/>
      <c r="BD787" s="2"/>
      <c r="BF787" s="2"/>
      <c r="BH787" s="2"/>
      <c r="BI787" s="2"/>
      <c r="BJ787" s="2"/>
    </row>
    <row r="788" ht="14.25" customHeight="1">
      <c r="E788" s="2"/>
      <c r="K788" s="2"/>
      <c r="L788" s="2"/>
      <c r="M788" s="2"/>
      <c r="N788" s="2"/>
      <c r="AD788" s="2"/>
      <c r="AE788" s="2"/>
      <c r="BA788" s="2"/>
      <c r="BD788" s="2"/>
      <c r="BF788" s="2"/>
      <c r="BH788" s="2"/>
      <c r="BI788" s="2"/>
      <c r="BJ788" s="2"/>
    </row>
    <row r="789" ht="14.25" customHeight="1">
      <c r="E789" s="2"/>
      <c r="K789" s="2"/>
      <c r="L789" s="2"/>
      <c r="M789" s="2"/>
      <c r="N789" s="2"/>
      <c r="AD789" s="2"/>
      <c r="AE789" s="2"/>
      <c r="BA789" s="2"/>
      <c r="BD789" s="2"/>
      <c r="BF789" s="2"/>
      <c r="BH789" s="2"/>
      <c r="BI789" s="2"/>
      <c r="BJ789" s="2"/>
    </row>
    <row r="790" ht="14.25" customHeight="1">
      <c r="E790" s="2"/>
      <c r="K790" s="2"/>
      <c r="L790" s="2"/>
      <c r="M790" s="2"/>
      <c r="N790" s="2"/>
      <c r="AD790" s="2"/>
      <c r="AE790" s="2"/>
      <c r="BA790" s="2"/>
      <c r="BD790" s="2"/>
      <c r="BF790" s="2"/>
      <c r="BH790" s="2"/>
      <c r="BI790" s="2"/>
      <c r="BJ790" s="2"/>
    </row>
    <row r="791" ht="14.25" customHeight="1">
      <c r="E791" s="2"/>
      <c r="K791" s="2"/>
      <c r="L791" s="2"/>
      <c r="M791" s="2"/>
      <c r="N791" s="2"/>
      <c r="AD791" s="2"/>
      <c r="AE791" s="2"/>
      <c r="BA791" s="2"/>
      <c r="BD791" s="2"/>
      <c r="BF791" s="2"/>
      <c r="BH791" s="2"/>
      <c r="BI791" s="2"/>
      <c r="BJ791" s="2"/>
    </row>
    <row r="792" ht="14.25" customHeight="1">
      <c r="E792" s="2"/>
      <c r="K792" s="2"/>
      <c r="L792" s="2"/>
      <c r="M792" s="2"/>
      <c r="N792" s="2"/>
      <c r="AD792" s="2"/>
      <c r="AE792" s="2"/>
      <c r="BA792" s="2"/>
      <c r="BD792" s="2"/>
      <c r="BF792" s="2"/>
      <c r="BH792" s="2"/>
      <c r="BI792" s="2"/>
      <c r="BJ792" s="2"/>
    </row>
    <row r="793" ht="14.25" customHeight="1">
      <c r="E793" s="2"/>
      <c r="K793" s="2"/>
      <c r="L793" s="2"/>
      <c r="M793" s="2"/>
      <c r="N793" s="2"/>
      <c r="AD793" s="2"/>
      <c r="AE793" s="2"/>
      <c r="BA793" s="2"/>
      <c r="BD793" s="2"/>
      <c r="BF793" s="2"/>
      <c r="BH793" s="2"/>
      <c r="BI793" s="2"/>
      <c r="BJ793" s="2"/>
    </row>
    <row r="794" ht="14.25" customHeight="1">
      <c r="E794" s="2"/>
      <c r="K794" s="2"/>
      <c r="L794" s="2"/>
      <c r="M794" s="2"/>
      <c r="N794" s="2"/>
      <c r="AD794" s="2"/>
      <c r="AE794" s="2"/>
      <c r="BA794" s="2"/>
      <c r="BD794" s="2"/>
      <c r="BF794" s="2"/>
      <c r="BH794" s="2"/>
      <c r="BI794" s="2"/>
      <c r="BJ794" s="2"/>
    </row>
    <row r="795" ht="14.25" customHeight="1">
      <c r="E795" s="2"/>
      <c r="K795" s="2"/>
      <c r="L795" s="2"/>
      <c r="M795" s="2"/>
      <c r="N795" s="2"/>
      <c r="AD795" s="2"/>
      <c r="AE795" s="2"/>
      <c r="BA795" s="2"/>
      <c r="BD795" s="2"/>
      <c r="BF795" s="2"/>
      <c r="BH795" s="2"/>
      <c r="BI795" s="2"/>
      <c r="BJ795" s="2"/>
    </row>
    <row r="796" ht="14.25" customHeight="1">
      <c r="E796" s="2"/>
      <c r="K796" s="2"/>
      <c r="L796" s="2"/>
      <c r="M796" s="2"/>
      <c r="N796" s="2"/>
      <c r="AD796" s="2"/>
      <c r="AE796" s="2"/>
      <c r="BA796" s="2"/>
      <c r="BD796" s="2"/>
      <c r="BF796" s="2"/>
      <c r="BH796" s="2"/>
      <c r="BI796" s="2"/>
      <c r="BJ796" s="2"/>
    </row>
    <row r="797" ht="14.25" customHeight="1">
      <c r="E797" s="2"/>
      <c r="K797" s="2"/>
      <c r="L797" s="2"/>
      <c r="M797" s="2"/>
      <c r="N797" s="2"/>
      <c r="AD797" s="2"/>
      <c r="AE797" s="2"/>
      <c r="BA797" s="2"/>
      <c r="BD797" s="2"/>
      <c r="BF797" s="2"/>
      <c r="BH797" s="2"/>
      <c r="BI797" s="2"/>
      <c r="BJ797" s="2"/>
    </row>
    <row r="798" ht="14.25" customHeight="1">
      <c r="E798" s="2"/>
      <c r="K798" s="2"/>
      <c r="L798" s="2"/>
      <c r="M798" s="2"/>
      <c r="N798" s="2"/>
      <c r="AD798" s="2"/>
      <c r="AE798" s="2"/>
      <c r="BA798" s="2"/>
      <c r="BD798" s="2"/>
      <c r="BF798" s="2"/>
      <c r="BH798" s="2"/>
      <c r="BI798" s="2"/>
      <c r="BJ798" s="2"/>
    </row>
    <row r="799" ht="14.25" customHeight="1">
      <c r="E799" s="2"/>
      <c r="K799" s="2"/>
      <c r="L799" s="2"/>
      <c r="M799" s="2"/>
      <c r="N799" s="2"/>
      <c r="AD799" s="2"/>
      <c r="AE799" s="2"/>
      <c r="BA799" s="2"/>
      <c r="BD799" s="2"/>
      <c r="BF799" s="2"/>
      <c r="BH799" s="2"/>
      <c r="BI799" s="2"/>
      <c r="BJ799" s="2"/>
    </row>
    <row r="800" ht="14.25" customHeight="1">
      <c r="E800" s="2"/>
      <c r="K800" s="2"/>
      <c r="L800" s="2"/>
      <c r="M800" s="2"/>
      <c r="N800" s="2"/>
      <c r="AD800" s="2"/>
      <c r="AE800" s="2"/>
      <c r="BA800" s="2"/>
      <c r="BD800" s="2"/>
      <c r="BF800" s="2"/>
      <c r="BH800" s="2"/>
      <c r="BI800" s="2"/>
      <c r="BJ800" s="2"/>
    </row>
    <row r="801" ht="14.25" customHeight="1">
      <c r="E801" s="2"/>
      <c r="K801" s="2"/>
      <c r="L801" s="2"/>
      <c r="M801" s="2"/>
      <c r="N801" s="2"/>
      <c r="AD801" s="2"/>
      <c r="AE801" s="2"/>
      <c r="BA801" s="2"/>
      <c r="BD801" s="2"/>
      <c r="BF801" s="2"/>
      <c r="BH801" s="2"/>
      <c r="BI801" s="2"/>
      <c r="BJ801" s="2"/>
    </row>
    <row r="802" ht="14.25" customHeight="1">
      <c r="E802" s="2"/>
      <c r="K802" s="2"/>
      <c r="L802" s="2"/>
      <c r="M802" s="2"/>
      <c r="N802" s="2"/>
      <c r="AD802" s="2"/>
      <c r="AE802" s="2"/>
      <c r="BA802" s="2"/>
      <c r="BD802" s="2"/>
      <c r="BF802" s="2"/>
      <c r="BH802" s="2"/>
      <c r="BI802" s="2"/>
      <c r="BJ802" s="2"/>
    </row>
    <row r="803" ht="14.25" customHeight="1">
      <c r="E803" s="2"/>
      <c r="K803" s="2"/>
      <c r="L803" s="2"/>
      <c r="M803" s="2"/>
      <c r="N803" s="2"/>
      <c r="AD803" s="2"/>
      <c r="AE803" s="2"/>
      <c r="BA803" s="2"/>
      <c r="BD803" s="2"/>
      <c r="BF803" s="2"/>
      <c r="BH803" s="2"/>
      <c r="BI803" s="2"/>
      <c r="BJ803" s="2"/>
    </row>
    <row r="804" ht="14.25" customHeight="1">
      <c r="E804" s="2"/>
      <c r="K804" s="2"/>
      <c r="L804" s="2"/>
      <c r="M804" s="2"/>
      <c r="N804" s="2"/>
      <c r="AD804" s="2"/>
      <c r="AE804" s="2"/>
      <c r="BA804" s="2"/>
      <c r="BD804" s="2"/>
      <c r="BF804" s="2"/>
      <c r="BH804" s="2"/>
      <c r="BI804" s="2"/>
      <c r="BJ804" s="2"/>
    </row>
    <row r="805" ht="14.25" customHeight="1">
      <c r="E805" s="2"/>
      <c r="K805" s="2"/>
      <c r="L805" s="2"/>
      <c r="M805" s="2"/>
      <c r="N805" s="2"/>
      <c r="AD805" s="2"/>
      <c r="AE805" s="2"/>
      <c r="BA805" s="2"/>
      <c r="BD805" s="2"/>
      <c r="BF805" s="2"/>
      <c r="BH805" s="2"/>
      <c r="BI805" s="2"/>
      <c r="BJ805" s="2"/>
    </row>
    <row r="806" ht="14.25" customHeight="1">
      <c r="E806" s="2"/>
      <c r="K806" s="2"/>
      <c r="L806" s="2"/>
      <c r="M806" s="2"/>
      <c r="N806" s="2"/>
      <c r="AD806" s="2"/>
      <c r="AE806" s="2"/>
      <c r="BA806" s="2"/>
      <c r="BD806" s="2"/>
      <c r="BF806" s="2"/>
      <c r="BH806" s="2"/>
      <c r="BI806" s="2"/>
      <c r="BJ806" s="2"/>
    </row>
    <row r="807" ht="14.25" customHeight="1">
      <c r="E807" s="2"/>
      <c r="K807" s="2"/>
      <c r="L807" s="2"/>
      <c r="M807" s="2"/>
      <c r="N807" s="2"/>
      <c r="AD807" s="2"/>
      <c r="AE807" s="2"/>
      <c r="BA807" s="2"/>
      <c r="BD807" s="2"/>
      <c r="BF807" s="2"/>
      <c r="BH807" s="2"/>
      <c r="BI807" s="2"/>
      <c r="BJ807" s="2"/>
    </row>
    <row r="808" ht="14.25" customHeight="1">
      <c r="E808" s="2"/>
      <c r="K808" s="2"/>
      <c r="L808" s="2"/>
      <c r="M808" s="2"/>
      <c r="N808" s="2"/>
      <c r="AD808" s="2"/>
      <c r="AE808" s="2"/>
      <c r="BA808" s="2"/>
      <c r="BD808" s="2"/>
      <c r="BF808" s="2"/>
      <c r="BH808" s="2"/>
      <c r="BI808" s="2"/>
      <c r="BJ808" s="2"/>
    </row>
    <row r="809" ht="14.25" customHeight="1">
      <c r="E809" s="2"/>
      <c r="K809" s="2"/>
      <c r="L809" s="2"/>
      <c r="M809" s="2"/>
      <c r="N809" s="2"/>
      <c r="AD809" s="2"/>
      <c r="AE809" s="2"/>
      <c r="BA809" s="2"/>
      <c r="BD809" s="2"/>
      <c r="BF809" s="2"/>
      <c r="BH809" s="2"/>
      <c r="BI809" s="2"/>
      <c r="BJ809" s="2"/>
    </row>
    <row r="810" ht="14.25" customHeight="1">
      <c r="E810" s="2"/>
      <c r="K810" s="2"/>
      <c r="L810" s="2"/>
      <c r="M810" s="2"/>
      <c r="N810" s="2"/>
      <c r="AD810" s="2"/>
      <c r="AE810" s="2"/>
      <c r="BA810" s="2"/>
      <c r="BD810" s="2"/>
      <c r="BF810" s="2"/>
      <c r="BH810" s="2"/>
      <c r="BI810" s="2"/>
      <c r="BJ810" s="2"/>
    </row>
    <row r="811" ht="14.25" customHeight="1">
      <c r="E811" s="2"/>
      <c r="K811" s="2"/>
      <c r="L811" s="2"/>
      <c r="M811" s="2"/>
      <c r="N811" s="2"/>
      <c r="AD811" s="2"/>
      <c r="AE811" s="2"/>
      <c r="BA811" s="2"/>
      <c r="BD811" s="2"/>
      <c r="BF811" s="2"/>
      <c r="BH811" s="2"/>
      <c r="BI811" s="2"/>
      <c r="BJ811" s="2"/>
    </row>
    <row r="812" ht="14.25" customHeight="1">
      <c r="E812" s="2"/>
      <c r="K812" s="2"/>
      <c r="L812" s="2"/>
      <c r="M812" s="2"/>
      <c r="N812" s="2"/>
      <c r="AD812" s="2"/>
      <c r="AE812" s="2"/>
      <c r="BA812" s="2"/>
      <c r="BD812" s="2"/>
      <c r="BF812" s="2"/>
      <c r="BH812" s="2"/>
      <c r="BI812" s="2"/>
      <c r="BJ812" s="2"/>
    </row>
    <row r="813" ht="14.25" customHeight="1">
      <c r="E813" s="2"/>
      <c r="K813" s="2"/>
      <c r="L813" s="2"/>
      <c r="M813" s="2"/>
      <c r="N813" s="2"/>
      <c r="AD813" s="2"/>
      <c r="AE813" s="2"/>
      <c r="BA813" s="2"/>
      <c r="BD813" s="2"/>
      <c r="BF813" s="2"/>
      <c r="BH813" s="2"/>
      <c r="BI813" s="2"/>
      <c r="BJ813" s="2"/>
    </row>
    <row r="814" ht="14.25" customHeight="1">
      <c r="E814" s="2"/>
      <c r="K814" s="2"/>
      <c r="L814" s="2"/>
      <c r="M814" s="2"/>
      <c r="N814" s="2"/>
      <c r="AD814" s="2"/>
      <c r="AE814" s="2"/>
      <c r="BA814" s="2"/>
      <c r="BD814" s="2"/>
      <c r="BF814" s="2"/>
      <c r="BH814" s="2"/>
      <c r="BI814" s="2"/>
      <c r="BJ814" s="2"/>
    </row>
    <row r="815" ht="14.25" customHeight="1">
      <c r="E815" s="2"/>
      <c r="K815" s="2"/>
      <c r="L815" s="2"/>
      <c r="M815" s="2"/>
      <c r="N815" s="2"/>
      <c r="AD815" s="2"/>
      <c r="AE815" s="2"/>
      <c r="BA815" s="2"/>
      <c r="BD815" s="2"/>
      <c r="BF815" s="2"/>
      <c r="BH815" s="2"/>
      <c r="BI815" s="2"/>
      <c r="BJ815" s="2"/>
    </row>
    <row r="816" ht="14.25" customHeight="1">
      <c r="E816" s="2"/>
      <c r="K816" s="2"/>
      <c r="L816" s="2"/>
      <c r="M816" s="2"/>
      <c r="N816" s="2"/>
      <c r="AD816" s="2"/>
      <c r="AE816" s="2"/>
      <c r="BA816" s="2"/>
      <c r="BD816" s="2"/>
      <c r="BF816" s="2"/>
      <c r="BH816" s="2"/>
      <c r="BI816" s="2"/>
      <c r="BJ816" s="2"/>
    </row>
    <row r="817" ht="14.25" customHeight="1">
      <c r="E817" s="2"/>
      <c r="K817" s="2"/>
      <c r="L817" s="2"/>
      <c r="M817" s="2"/>
      <c r="N817" s="2"/>
      <c r="AD817" s="2"/>
      <c r="AE817" s="2"/>
      <c r="BA817" s="2"/>
      <c r="BD817" s="2"/>
      <c r="BF817" s="2"/>
      <c r="BH817" s="2"/>
      <c r="BI817" s="2"/>
      <c r="BJ817" s="2"/>
    </row>
    <row r="818" ht="14.25" customHeight="1">
      <c r="E818" s="2"/>
      <c r="K818" s="2"/>
      <c r="L818" s="2"/>
      <c r="M818" s="2"/>
      <c r="N818" s="2"/>
      <c r="AD818" s="2"/>
      <c r="AE818" s="2"/>
      <c r="BA818" s="2"/>
      <c r="BD818" s="2"/>
      <c r="BF818" s="2"/>
      <c r="BH818" s="2"/>
      <c r="BI818" s="2"/>
      <c r="BJ818" s="2"/>
    </row>
    <row r="819" ht="14.25" customHeight="1">
      <c r="E819" s="2"/>
      <c r="K819" s="2"/>
      <c r="L819" s="2"/>
      <c r="M819" s="2"/>
      <c r="N819" s="2"/>
      <c r="AD819" s="2"/>
      <c r="AE819" s="2"/>
      <c r="BA819" s="2"/>
      <c r="BD819" s="2"/>
      <c r="BF819" s="2"/>
      <c r="BH819" s="2"/>
      <c r="BI819" s="2"/>
      <c r="BJ819" s="2"/>
    </row>
    <row r="820" ht="14.25" customHeight="1">
      <c r="E820" s="2"/>
      <c r="K820" s="2"/>
      <c r="L820" s="2"/>
      <c r="M820" s="2"/>
      <c r="N820" s="2"/>
      <c r="AD820" s="2"/>
      <c r="AE820" s="2"/>
      <c r="BA820" s="2"/>
      <c r="BD820" s="2"/>
      <c r="BF820" s="2"/>
      <c r="BH820" s="2"/>
      <c r="BI820" s="2"/>
      <c r="BJ820" s="2"/>
    </row>
    <row r="821" ht="14.25" customHeight="1">
      <c r="E821" s="2"/>
      <c r="K821" s="2"/>
      <c r="L821" s="2"/>
      <c r="M821" s="2"/>
      <c r="N821" s="2"/>
      <c r="AD821" s="2"/>
      <c r="AE821" s="2"/>
      <c r="BA821" s="2"/>
      <c r="BD821" s="2"/>
      <c r="BF821" s="2"/>
      <c r="BH821" s="2"/>
      <c r="BI821" s="2"/>
      <c r="BJ821" s="2"/>
    </row>
    <row r="822" ht="14.25" customHeight="1">
      <c r="E822" s="2"/>
      <c r="K822" s="2"/>
      <c r="L822" s="2"/>
      <c r="M822" s="2"/>
      <c r="N822" s="2"/>
      <c r="AD822" s="2"/>
      <c r="AE822" s="2"/>
      <c r="BA822" s="2"/>
      <c r="BD822" s="2"/>
      <c r="BF822" s="2"/>
      <c r="BH822" s="2"/>
      <c r="BI822" s="2"/>
      <c r="BJ822" s="2"/>
    </row>
    <row r="823" ht="14.25" customHeight="1">
      <c r="E823" s="2"/>
      <c r="K823" s="2"/>
      <c r="L823" s="2"/>
      <c r="M823" s="2"/>
      <c r="N823" s="2"/>
      <c r="AD823" s="2"/>
      <c r="AE823" s="2"/>
      <c r="BA823" s="2"/>
      <c r="BD823" s="2"/>
      <c r="BF823" s="2"/>
      <c r="BH823" s="2"/>
      <c r="BI823" s="2"/>
      <c r="BJ823" s="2"/>
    </row>
    <row r="824" ht="14.25" customHeight="1">
      <c r="E824" s="2"/>
      <c r="K824" s="2"/>
      <c r="L824" s="2"/>
      <c r="M824" s="2"/>
      <c r="N824" s="2"/>
      <c r="AD824" s="2"/>
      <c r="AE824" s="2"/>
      <c r="BA824" s="2"/>
      <c r="BD824" s="2"/>
      <c r="BF824" s="2"/>
      <c r="BH824" s="2"/>
      <c r="BI824" s="2"/>
      <c r="BJ824" s="2"/>
    </row>
    <row r="825" ht="14.25" customHeight="1">
      <c r="E825" s="2"/>
      <c r="K825" s="2"/>
      <c r="L825" s="2"/>
      <c r="M825" s="2"/>
      <c r="N825" s="2"/>
      <c r="AD825" s="2"/>
      <c r="AE825" s="2"/>
      <c r="BA825" s="2"/>
      <c r="BD825" s="2"/>
      <c r="BF825" s="2"/>
      <c r="BH825" s="2"/>
      <c r="BI825" s="2"/>
      <c r="BJ825" s="2"/>
    </row>
    <row r="826" ht="14.25" customHeight="1">
      <c r="E826" s="2"/>
      <c r="K826" s="2"/>
      <c r="L826" s="2"/>
      <c r="M826" s="2"/>
      <c r="N826" s="2"/>
      <c r="AD826" s="2"/>
      <c r="AE826" s="2"/>
      <c r="BA826" s="2"/>
      <c r="BD826" s="2"/>
      <c r="BF826" s="2"/>
      <c r="BH826" s="2"/>
      <c r="BI826" s="2"/>
      <c r="BJ826" s="2"/>
    </row>
    <row r="827" ht="14.25" customHeight="1">
      <c r="E827" s="2"/>
      <c r="K827" s="2"/>
      <c r="L827" s="2"/>
      <c r="M827" s="2"/>
      <c r="N827" s="2"/>
      <c r="AD827" s="2"/>
      <c r="AE827" s="2"/>
      <c r="BA827" s="2"/>
      <c r="BD827" s="2"/>
      <c r="BF827" s="2"/>
      <c r="BH827" s="2"/>
      <c r="BI827" s="2"/>
      <c r="BJ827" s="2"/>
    </row>
    <row r="828" ht="14.25" customHeight="1">
      <c r="E828" s="2"/>
      <c r="K828" s="2"/>
      <c r="L828" s="2"/>
      <c r="M828" s="2"/>
      <c r="N828" s="2"/>
      <c r="AD828" s="2"/>
      <c r="AE828" s="2"/>
      <c r="BA828" s="2"/>
      <c r="BD828" s="2"/>
      <c r="BF828" s="2"/>
      <c r="BH828" s="2"/>
      <c r="BI828" s="2"/>
      <c r="BJ828" s="2"/>
    </row>
    <row r="829" ht="14.25" customHeight="1">
      <c r="E829" s="2"/>
      <c r="K829" s="2"/>
      <c r="L829" s="2"/>
      <c r="M829" s="2"/>
      <c r="N829" s="2"/>
      <c r="AD829" s="2"/>
      <c r="AE829" s="2"/>
      <c r="BA829" s="2"/>
      <c r="BD829" s="2"/>
      <c r="BF829" s="2"/>
      <c r="BH829" s="2"/>
      <c r="BI829" s="2"/>
      <c r="BJ829" s="2"/>
    </row>
    <row r="830" ht="14.25" customHeight="1">
      <c r="E830" s="2"/>
      <c r="K830" s="2"/>
      <c r="L830" s="2"/>
      <c r="M830" s="2"/>
      <c r="N830" s="2"/>
      <c r="AD830" s="2"/>
      <c r="AE830" s="2"/>
      <c r="BA830" s="2"/>
      <c r="BD830" s="2"/>
      <c r="BF830" s="2"/>
      <c r="BH830" s="2"/>
      <c r="BI830" s="2"/>
      <c r="BJ830" s="2"/>
    </row>
    <row r="831" ht="14.25" customHeight="1">
      <c r="E831" s="2"/>
      <c r="K831" s="2"/>
      <c r="L831" s="2"/>
      <c r="M831" s="2"/>
      <c r="N831" s="2"/>
      <c r="AD831" s="2"/>
      <c r="AE831" s="2"/>
      <c r="BA831" s="2"/>
      <c r="BD831" s="2"/>
      <c r="BF831" s="2"/>
      <c r="BH831" s="2"/>
      <c r="BI831" s="2"/>
      <c r="BJ831" s="2"/>
    </row>
    <row r="832" ht="14.25" customHeight="1">
      <c r="E832" s="2"/>
      <c r="K832" s="2"/>
      <c r="L832" s="2"/>
      <c r="M832" s="2"/>
      <c r="N832" s="2"/>
      <c r="AD832" s="2"/>
      <c r="AE832" s="2"/>
      <c r="BA832" s="2"/>
      <c r="BD832" s="2"/>
      <c r="BF832" s="2"/>
      <c r="BH832" s="2"/>
      <c r="BI832" s="2"/>
      <c r="BJ832" s="2"/>
    </row>
    <row r="833" ht="14.25" customHeight="1">
      <c r="E833" s="2"/>
      <c r="K833" s="2"/>
      <c r="L833" s="2"/>
      <c r="M833" s="2"/>
      <c r="N833" s="2"/>
      <c r="AD833" s="2"/>
      <c r="AE833" s="2"/>
      <c r="BA833" s="2"/>
      <c r="BD833" s="2"/>
      <c r="BF833" s="2"/>
      <c r="BH833" s="2"/>
      <c r="BI833" s="2"/>
      <c r="BJ833" s="2"/>
    </row>
    <row r="834" ht="14.25" customHeight="1">
      <c r="E834" s="2"/>
      <c r="K834" s="2"/>
      <c r="L834" s="2"/>
      <c r="M834" s="2"/>
      <c r="N834" s="2"/>
      <c r="AD834" s="2"/>
      <c r="AE834" s="2"/>
      <c r="BA834" s="2"/>
      <c r="BD834" s="2"/>
      <c r="BF834" s="2"/>
      <c r="BH834" s="2"/>
      <c r="BI834" s="2"/>
      <c r="BJ834" s="2"/>
    </row>
    <row r="835" ht="14.25" customHeight="1">
      <c r="E835" s="2"/>
      <c r="K835" s="2"/>
      <c r="L835" s="2"/>
      <c r="M835" s="2"/>
      <c r="N835" s="2"/>
      <c r="AD835" s="2"/>
      <c r="AE835" s="2"/>
      <c r="BA835" s="2"/>
      <c r="BD835" s="2"/>
      <c r="BF835" s="2"/>
      <c r="BH835" s="2"/>
      <c r="BI835" s="2"/>
      <c r="BJ835" s="2"/>
    </row>
    <row r="836" ht="14.25" customHeight="1">
      <c r="E836" s="2"/>
      <c r="K836" s="2"/>
      <c r="L836" s="2"/>
      <c r="M836" s="2"/>
      <c r="N836" s="2"/>
      <c r="AD836" s="2"/>
      <c r="AE836" s="2"/>
      <c r="BA836" s="2"/>
      <c r="BD836" s="2"/>
      <c r="BF836" s="2"/>
      <c r="BH836" s="2"/>
      <c r="BI836" s="2"/>
      <c r="BJ836" s="2"/>
    </row>
    <row r="837" ht="14.25" customHeight="1">
      <c r="E837" s="2"/>
      <c r="K837" s="2"/>
      <c r="L837" s="2"/>
      <c r="M837" s="2"/>
      <c r="N837" s="2"/>
      <c r="AD837" s="2"/>
      <c r="AE837" s="2"/>
      <c r="BA837" s="2"/>
      <c r="BD837" s="2"/>
      <c r="BF837" s="2"/>
      <c r="BH837" s="2"/>
      <c r="BI837" s="2"/>
      <c r="BJ837" s="2"/>
    </row>
    <row r="838" ht="14.25" customHeight="1">
      <c r="E838" s="2"/>
      <c r="K838" s="2"/>
      <c r="L838" s="2"/>
      <c r="M838" s="2"/>
      <c r="N838" s="2"/>
      <c r="AD838" s="2"/>
      <c r="AE838" s="2"/>
      <c r="BA838" s="2"/>
      <c r="BD838" s="2"/>
      <c r="BF838" s="2"/>
      <c r="BH838" s="2"/>
      <c r="BI838" s="2"/>
      <c r="BJ838" s="2"/>
    </row>
    <row r="839" ht="14.25" customHeight="1">
      <c r="E839" s="2"/>
      <c r="K839" s="2"/>
      <c r="L839" s="2"/>
      <c r="M839" s="2"/>
      <c r="N839" s="2"/>
      <c r="AD839" s="2"/>
      <c r="AE839" s="2"/>
      <c r="BA839" s="2"/>
      <c r="BD839" s="2"/>
      <c r="BF839" s="2"/>
      <c r="BH839" s="2"/>
      <c r="BI839" s="2"/>
      <c r="BJ839" s="2"/>
    </row>
    <row r="840" ht="14.25" customHeight="1">
      <c r="E840" s="2"/>
      <c r="K840" s="2"/>
      <c r="L840" s="2"/>
      <c r="M840" s="2"/>
      <c r="N840" s="2"/>
      <c r="AD840" s="2"/>
      <c r="AE840" s="2"/>
      <c r="BA840" s="2"/>
      <c r="BD840" s="2"/>
      <c r="BF840" s="2"/>
      <c r="BH840" s="2"/>
      <c r="BI840" s="2"/>
      <c r="BJ840" s="2"/>
    </row>
    <row r="841" ht="14.25" customHeight="1">
      <c r="E841" s="2"/>
      <c r="K841" s="2"/>
      <c r="L841" s="2"/>
      <c r="M841" s="2"/>
      <c r="N841" s="2"/>
      <c r="AD841" s="2"/>
      <c r="AE841" s="2"/>
      <c r="BA841" s="2"/>
      <c r="BD841" s="2"/>
      <c r="BF841" s="2"/>
      <c r="BH841" s="2"/>
      <c r="BI841" s="2"/>
      <c r="BJ841" s="2"/>
    </row>
    <row r="842" ht="14.25" customHeight="1">
      <c r="E842" s="2"/>
      <c r="K842" s="2"/>
      <c r="L842" s="2"/>
      <c r="M842" s="2"/>
      <c r="N842" s="2"/>
      <c r="AD842" s="2"/>
      <c r="AE842" s="2"/>
      <c r="BA842" s="2"/>
      <c r="BD842" s="2"/>
      <c r="BF842" s="2"/>
      <c r="BH842" s="2"/>
      <c r="BI842" s="2"/>
      <c r="BJ842" s="2"/>
    </row>
    <row r="843" ht="14.25" customHeight="1">
      <c r="E843" s="2"/>
      <c r="K843" s="2"/>
      <c r="L843" s="2"/>
      <c r="M843" s="2"/>
      <c r="N843" s="2"/>
      <c r="AD843" s="2"/>
      <c r="AE843" s="2"/>
      <c r="BA843" s="2"/>
      <c r="BD843" s="2"/>
      <c r="BF843" s="2"/>
      <c r="BH843" s="2"/>
      <c r="BI843" s="2"/>
      <c r="BJ843" s="2"/>
    </row>
    <row r="844" ht="14.25" customHeight="1">
      <c r="E844" s="2"/>
      <c r="K844" s="2"/>
      <c r="L844" s="2"/>
      <c r="M844" s="2"/>
      <c r="N844" s="2"/>
      <c r="AD844" s="2"/>
      <c r="AE844" s="2"/>
      <c r="BA844" s="2"/>
      <c r="BD844" s="2"/>
      <c r="BF844" s="2"/>
      <c r="BH844" s="2"/>
      <c r="BI844" s="2"/>
      <c r="BJ844" s="2"/>
    </row>
    <row r="845" ht="14.25" customHeight="1">
      <c r="E845" s="2"/>
      <c r="K845" s="2"/>
      <c r="L845" s="2"/>
      <c r="M845" s="2"/>
      <c r="N845" s="2"/>
      <c r="AD845" s="2"/>
      <c r="AE845" s="2"/>
      <c r="BA845" s="2"/>
      <c r="BD845" s="2"/>
      <c r="BF845" s="2"/>
      <c r="BH845" s="2"/>
      <c r="BI845" s="2"/>
      <c r="BJ845" s="2"/>
    </row>
    <row r="846" ht="14.25" customHeight="1">
      <c r="E846" s="2"/>
      <c r="K846" s="2"/>
      <c r="L846" s="2"/>
      <c r="M846" s="2"/>
      <c r="N846" s="2"/>
      <c r="AD846" s="2"/>
      <c r="AE846" s="2"/>
      <c r="BA846" s="2"/>
      <c r="BD846" s="2"/>
      <c r="BF846" s="2"/>
      <c r="BH846" s="2"/>
      <c r="BI846" s="2"/>
      <c r="BJ846" s="2"/>
    </row>
    <row r="847" ht="14.25" customHeight="1">
      <c r="E847" s="2"/>
      <c r="K847" s="2"/>
      <c r="L847" s="2"/>
      <c r="M847" s="2"/>
      <c r="N847" s="2"/>
      <c r="AD847" s="2"/>
      <c r="AE847" s="2"/>
      <c r="BA847" s="2"/>
      <c r="BD847" s="2"/>
      <c r="BF847" s="2"/>
      <c r="BH847" s="2"/>
      <c r="BI847" s="2"/>
      <c r="BJ847" s="2"/>
    </row>
    <row r="848" ht="14.25" customHeight="1">
      <c r="E848" s="2"/>
      <c r="K848" s="2"/>
      <c r="L848" s="2"/>
      <c r="M848" s="2"/>
      <c r="N848" s="2"/>
      <c r="AD848" s="2"/>
      <c r="AE848" s="2"/>
      <c r="BA848" s="2"/>
      <c r="BD848" s="2"/>
      <c r="BF848" s="2"/>
      <c r="BH848" s="2"/>
      <c r="BI848" s="2"/>
      <c r="BJ848" s="2"/>
    </row>
    <row r="849" ht="14.25" customHeight="1">
      <c r="E849" s="2"/>
      <c r="K849" s="2"/>
      <c r="L849" s="2"/>
      <c r="M849" s="2"/>
      <c r="N849" s="2"/>
      <c r="AD849" s="2"/>
      <c r="AE849" s="2"/>
      <c r="BA849" s="2"/>
      <c r="BD849" s="2"/>
      <c r="BF849" s="2"/>
      <c r="BH849" s="2"/>
      <c r="BI849" s="2"/>
      <c r="BJ849" s="2"/>
    </row>
    <row r="850" ht="14.25" customHeight="1">
      <c r="E850" s="2"/>
      <c r="K850" s="2"/>
      <c r="L850" s="2"/>
      <c r="M850" s="2"/>
      <c r="N850" s="2"/>
      <c r="AD850" s="2"/>
      <c r="AE850" s="2"/>
      <c r="BA850" s="2"/>
      <c r="BD850" s="2"/>
      <c r="BF850" s="2"/>
      <c r="BH850" s="2"/>
      <c r="BI850" s="2"/>
      <c r="BJ850" s="2"/>
    </row>
    <row r="851" ht="14.25" customHeight="1">
      <c r="E851" s="2"/>
      <c r="K851" s="2"/>
      <c r="L851" s="2"/>
      <c r="M851" s="2"/>
      <c r="N851" s="2"/>
      <c r="AD851" s="2"/>
      <c r="AE851" s="2"/>
      <c r="BA851" s="2"/>
      <c r="BD851" s="2"/>
      <c r="BF851" s="2"/>
      <c r="BH851" s="2"/>
      <c r="BI851" s="2"/>
      <c r="BJ851" s="2"/>
    </row>
    <row r="852" ht="14.25" customHeight="1">
      <c r="E852" s="2"/>
      <c r="K852" s="2"/>
      <c r="L852" s="2"/>
      <c r="M852" s="2"/>
      <c r="N852" s="2"/>
      <c r="AD852" s="2"/>
      <c r="AE852" s="2"/>
      <c r="BA852" s="2"/>
      <c r="BD852" s="2"/>
      <c r="BF852" s="2"/>
      <c r="BH852" s="2"/>
      <c r="BI852" s="2"/>
      <c r="BJ852" s="2"/>
    </row>
    <row r="853" ht="14.25" customHeight="1">
      <c r="E853" s="2"/>
      <c r="K853" s="2"/>
      <c r="L853" s="2"/>
      <c r="M853" s="2"/>
      <c r="N853" s="2"/>
      <c r="AD853" s="2"/>
      <c r="AE853" s="2"/>
      <c r="BA853" s="2"/>
      <c r="BD853" s="2"/>
      <c r="BF853" s="2"/>
      <c r="BH853" s="2"/>
      <c r="BI853" s="2"/>
      <c r="BJ853" s="2"/>
    </row>
    <row r="854" ht="14.25" customHeight="1">
      <c r="E854" s="2"/>
      <c r="K854" s="2"/>
      <c r="L854" s="2"/>
      <c r="M854" s="2"/>
      <c r="N854" s="2"/>
      <c r="AD854" s="2"/>
      <c r="AE854" s="2"/>
      <c r="BA854" s="2"/>
      <c r="BD854" s="2"/>
      <c r="BF854" s="2"/>
      <c r="BH854" s="2"/>
      <c r="BI854" s="2"/>
      <c r="BJ854" s="2"/>
    </row>
    <row r="855" ht="14.25" customHeight="1">
      <c r="E855" s="2"/>
      <c r="K855" s="2"/>
      <c r="L855" s="2"/>
      <c r="M855" s="2"/>
      <c r="N855" s="2"/>
      <c r="AD855" s="2"/>
      <c r="AE855" s="2"/>
      <c r="BA855" s="2"/>
      <c r="BD855" s="2"/>
      <c r="BF855" s="2"/>
      <c r="BH855" s="2"/>
      <c r="BI855" s="2"/>
      <c r="BJ855" s="2"/>
    </row>
    <row r="856" ht="14.25" customHeight="1">
      <c r="E856" s="2"/>
      <c r="K856" s="2"/>
      <c r="L856" s="2"/>
      <c r="M856" s="2"/>
      <c r="N856" s="2"/>
      <c r="AD856" s="2"/>
      <c r="AE856" s="2"/>
      <c r="BA856" s="2"/>
      <c r="BD856" s="2"/>
      <c r="BF856" s="2"/>
      <c r="BH856" s="2"/>
      <c r="BI856" s="2"/>
      <c r="BJ856" s="2"/>
    </row>
    <row r="857" ht="14.25" customHeight="1">
      <c r="E857" s="2"/>
      <c r="K857" s="2"/>
      <c r="L857" s="2"/>
      <c r="M857" s="2"/>
      <c r="N857" s="2"/>
      <c r="AD857" s="2"/>
      <c r="AE857" s="2"/>
      <c r="BA857" s="2"/>
      <c r="BD857" s="2"/>
      <c r="BF857" s="2"/>
      <c r="BH857" s="2"/>
      <c r="BI857" s="2"/>
      <c r="BJ857" s="2"/>
    </row>
    <row r="858" ht="14.25" customHeight="1">
      <c r="E858" s="2"/>
      <c r="K858" s="2"/>
      <c r="L858" s="2"/>
      <c r="M858" s="2"/>
      <c r="N858" s="2"/>
      <c r="AD858" s="2"/>
      <c r="AE858" s="2"/>
      <c r="BA858" s="2"/>
      <c r="BD858" s="2"/>
      <c r="BF858" s="2"/>
      <c r="BH858" s="2"/>
      <c r="BI858" s="2"/>
      <c r="BJ858" s="2"/>
    </row>
    <row r="859" ht="14.25" customHeight="1">
      <c r="E859" s="2"/>
      <c r="K859" s="2"/>
      <c r="L859" s="2"/>
      <c r="M859" s="2"/>
      <c r="N859" s="2"/>
      <c r="AD859" s="2"/>
      <c r="AE859" s="2"/>
      <c r="BA859" s="2"/>
      <c r="BD859" s="2"/>
      <c r="BF859" s="2"/>
      <c r="BH859" s="2"/>
      <c r="BI859" s="2"/>
      <c r="BJ859" s="2"/>
    </row>
    <row r="860" ht="14.25" customHeight="1">
      <c r="E860" s="2"/>
      <c r="K860" s="2"/>
      <c r="L860" s="2"/>
      <c r="M860" s="2"/>
      <c r="N860" s="2"/>
      <c r="AD860" s="2"/>
      <c r="AE860" s="2"/>
      <c r="BA860" s="2"/>
      <c r="BD860" s="2"/>
      <c r="BF860" s="2"/>
      <c r="BH860" s="2"/>
      <c r="BI860" s="2"/>
      <c r="BJ860" s="2"/>
    </row>
    <row r="861" ht="14.25" customHeight="1">
      <c r="E861" s="2"/>
      <c r="K861" s="2"/>
      <c r="L861" s="2"/>
      <c r="M861" s="2"/>
      <c r="N861" s="2"/>
      <c r="AD861" s="2"/>
      <c r="AE861" s="2"/>
      <c r="BA861" s="2"/>
      <c r="BD861" s="2"/>
      <c r="BF861" s="2"/>
      <c r="BH861" s="2"/>
      <c r="BI861" s="2"/>
      <c r="BJ861" s="2"/>
    </row>
    <row r="862" ht="14.25" customHeight="1">
      <c r="E862" s="2"/>
      <c r="K862" s="2"/>
      <c r="L862" s="2"/>
      <c r="M862" s="2"/>
      <c r="N862" s="2"/>
      <c r="AD862" s="2"/>
      <c r="AE862" s="2"/>
      <c r="BA862" s="2"/>
      <c r="BD862" s="2"/>
      <c r="BF862" s="2"/>
      <c r="BH862" s="2"/>
      <c r="BI862" s="2"/>
      <c r="BJ862" s="2"/>
    </row>
    <row r="863" ht="14.25" customHeight="1">
      <c r="E863" s="2"/>
      <c r="K863" s="2"/>
      <c r="L863" s="2"/>
      <c r="M863" s="2"/>
      <c r="N863" s="2"/>
      <c r="AD863" s="2"/>
      <c r="AE863" s="2"/>
      <c r="BA863" s="2"/>
      <c r="BD863" s="2"/>
      <c r="BF863" s="2"/>
      <c r="BH863" s="2"/>
      <c r="BI863" s="2"/>
      <c r="BJ863" s="2"/>
    </row>
    <row r="864" ht="14.25" customHeight="1">
      <c r="E864" s="2"/>
      <c r="K864" s="2"/>
      <c r="L864" s="2"/>
      <c r="M864" s="2"/>
      <c r="N864" s="2"/>
      <c r="AD864" s="2"/>
      <c r="AE864" s="2"/>
      <c r="BA864" s="2"/>
      <c r="BD864" s="2"/>
      <c r="BF864" s="2"/>
      <c r="BH864" s="2"/>
      <c r="BI864" s="2"/>
      <c r="BJ864" s="2"/>
    </row>
    <row r="865" ht="14.25" customHeight="1">
      <c r="E865" s="2"/>
      <c r="K865" s="2"/>
      <c r="L865" s="2"/>
      <c r="M865" s="2"/>
      <c r="N865" s="2"/>
      <c r="AD865" s="2"/>
      <c r="AE865" s="2"/>
      <c r="BA865" s="2"/>
      <c r="BD865" s="2"/>
      <c r="BF865" s="2"/>
      <c r="BH865" s="2"/>
      <c r="BI865" s="2"/>
      <c r="BJ865" s="2"/>
    </row>
    <row r="866" ht="14.25" customHeight="1">
      <c r="E866" s="2"/>
      <c r="K866" s="2"/>
      <c r="L866" s="2"/>
      <c r="M866" s="2"/>
      <c r="N866" s="2"/>
      <c r="AD866" s="2"/>
      <c r="AE866" s="2"/>
      <c r="BA866" s="2"/>
      <c r="BD866" s="2"/>
      <c r="BF866" s="2"/>
      <c r="BH866" s="2"/>
      <c r="BI866" s="2"/>
      <c r="BJ866" s="2"/>
    </row>
    <row r="867" ht="14.25" customHeight="1">
      <c r="E867" s="2"/>
      <c r="K867" s="2"/>
      <c r="L867" s="2"/>
      <c r="M867" s="2"/>
      <c r="N867" s="2"/>
      <c r="AD867" s="2"/>
      <c r="AE867" s="2"/>
      <c r="BA867" s="2"/>
      <c r="BD867" s="2"/>
      <c r="BF867" s="2"/>
      <c r="BH867" s="2"/>
      <c r="BI867" s="2"/>
      <c r="BJ867" s="2"/>
    </row>
    <row r="868" ht="14.25" customHeight="1">
      <c r="E868" s="2"/>
      <c r="K868" s="2"/>
      <c r="L868" s="2"/>
      <c r="M868" s="2"/>
      <c r="N868" s="2"/>
      <c r="AD868" s="2"/>
      <c r="AE868" s="2"/>
      <c r="BA868" s="2"/>
      <c r="BD868" s="2"/>
      <c r="BF868" s="2"/>
      <c r="BH868" s="2"/>
      <c r="BI868" s="2"/>
      <c r="BJ868" s="2"/>
    </row>
    <row r="869" ht="14.25" customHeight="1">
      <c r="E869" s="2"/>
      <c r="K869" s="2"/>
      <c r="L869" s="2"/>
      <c r="M869" s="2"/>
      <c r="N869" s="2"/>
      <c r="AD869" s="2"/>
      <c r="AE869" s="2"/>
      <c r="BA869" s="2"/>
      <c r="BD869" s="2"/>
      <c r="BF869" s="2"/>
      <c r="BH869" s="2"/>
      <c r="BI869" s="2"/>
      <c r="BJ869" s="2"/>
    </row>
    <row r="870" ht="14.25" customHeight="1">
      <c r="E870" s="2"/>
      <c r="K870" s="2"/>
      <c r="L870" s="2"/>
      <c r="M870" s="2"/>
      <c r="N870" s="2"/>
      <c r="AD870" s="2"/>
      <c r="AE870" s="2"/>
      <c r="BA870" s="2"/>
      <c r="BD870" s="2"/>
      <c r="BF870" s="2"/>
      <c r="BH870" s="2"/>
      <c r="BI870" s="2"/>
      <c r="BJ870" s="2"/>
    </row>
    <row r="871" ht="14.25" customHeight="1">
      <c r="E871" s="2"/>
      <c r="K871" s="2"/>
      <c r="L871" s="2"/>
      <c r="M871" s="2"/>
      <c r="N871" s="2"/>
      <c r="AD871" s="2"/>
      <c r="AE871" s="2"/>
      <c r="BA871" s="2"/>
      <c r="BD871" s="2"/>
      <c r="BF871" s="2"/>
      <c r="BH871" s="2"/>
      <c r="BI871" s="2"/>
      <c r="BJ871" s="2"/>
    </row>
    <row r="872" ht="14.25" customHeight="1">
      <c r="E872" s="2"/>
      <c r="K872" s="2"/>
      <c r="L872" s="2"/>
      <c r="M872" s="2"/>
      <c r="N872" s="2"/>
      <c r="AD872" s="2"/>
      <c r="AE872" s="2"/>
      <c r="BA872" s="2"/>
      <c r="BD872" s="2"/>
      <c r="BF872" s="2"/>
      <c r="BH872" s="2"/>
      <c r="BI872" s="2"/>
      <c r="BJ872" s="2"/>
    </row>
    <row r="873" ht="14.25" customHeight="1">
      <c r="E873" s="2"/>
      <c r="K873" s="2"/>
      <c r="L873" s="2"/>
      <c r="M873" s="2"/>
      <c r="N873" s="2"/>
      <c r="AD873" s="2"/>
      <c r="AE873" s="2"/>
      <c r="BA873" s="2"/>
      <c r="BD873" s="2"/>
      <c r="BF873" s="2"/>
      <c r="BH873" s="2"/>
      <c r="BI873" s="2"/>
      <c r="BJ873" s="2"/>
    </row>
    <row r="874" ht="14.25" customHeight="1">
      <c r="E874" s="2"/>
      <c r="K874" s="2"/>
      <c r="L874" s="2"/>
      <c r="M874" s="2"/>
      <c r="N874" s="2"/>
      <c r="AD874" s="2"/>
      <c r="AE874" s="2"/>
      <c r="BA874" s="2"/>
      <c r="BD874" s="2"/>
      <c r="BF874" s="2"/>
      <c r="BH874" s="2"/>
      <c r="BI874" s="2"/>
      <c r="BJ874" s="2"/>
    </row>
    <row r="875" ht="14.25" customHeight="1">
      <c r="E875" s="2"/>
      <c r="K875" s="2"/>
      <c r="L875" s="2"/>
      <c r="M875" s="2"/>
      <c r="N875" s="2"/>
      <c r="AD875" s="2"/>
      <c r="AE875" s="2"/>
      <c r="BA875" s="2"/>
      <c r="BD875" s="2"/>
      <c r="BF875" s="2"/>
      <c r="BH875" s="2"/>
      <c r="BI875" s="2"/>
      <c r="BJ875" s="2"/>
    </row>
    <row r="876" ht="14.25" customHeight="1">
      <c r="E876" s="2"/>
      <c r="K876" s="2"/>
      <c r="L876" s="2"/>
      <c r="M876" s="2"/>
      <c r="N876" s="2"/>
      <c r="AD876" s="2"/>
      <c r="AE876" s="2"/>
      <c r="BA876" s="2"/>
      <c r="BD876" s="2"/>
      <c r="BF876" s="2"/>
      <c r="BH876" s="2"/>
      <c r="BI876" s="2"/>
      <c r="BJ876" s="2"/>
    </row>
    <row r="877" ht="14.25" customHeight="1">
      <c r="E877" s="2"/>
      <c r="K877" s="2"/>
      <c r="L877" s="2"/>
      <c r="M877" s="2"/>
      <c r="N877" s="2"/>
      <c r="AD877" s="2"/>
      <c r="AE877" s="2"/>
      <c r="BA877" s="2"/>
      <c r="BD877" s="2"/>
      <c r="BF877" s="2"/>
      <c r="BH877" s="2"/>
      <c r="BI877" s="2"/>
      <c r="BJ877" s="2"/>
    </row>
    <row r="878" ht="14.25" customHeight="1">
      <c r="E878" s="2"/>
      <c r="K878" s="2"/>
      <c r="L878" s="2"/>
      <c r="M878" s="2"/>
      <c r="N878" s="2"/>
      <c r="AD878" s="2"/>
      <c r="AE878" s="2"/>
      <c r="BA878" s="2"/>
      <c r="BD878" s="2"/>
      <c r="BF878" s="2"/>
      <c r="BH878" s="2"/>
      <c r="BI878" s="2"/>
      <c r="BJ878" s="2"/>
    </row>
    <row r="879" ht="14.25" customHeight="1">
      <c r="E879" s="2"/>
      <c r="K879" s="2"/>
      <c r="L879" s="2"/>
      <c r="M879" s="2"/>
      <c r="N879" s="2"/>
      <c r="AD879" s="2"/>
      <c r="AE879" s="2"/>
      <c r="BA879" s="2"/>
      <c r="BD879" s="2"/>
      <c r="BF879" s="2"/>
      <c r="BH879" s="2"/>
      <c r="BI879" s="2"/>
      <c r="BJ879" s="2"/>
    </row>
    <row r="880" ht="14.25" customHeight="1">
      <c r="E880" s="2"/>
      <c r="K880" s="2"/>
      <c r="L880" s="2"/>
      <c r="M880" s="2"/>
      <c r="N880" s="2"/>
      <c r="AD880" s="2"/>
      <c r="AE880" s="2"/>
      <c r="BA880" s="2"/>
      <c r="BD880" s="2"/>
      <c r="BF880" s="2"/>
      <c r="BH880" s="2"/>
      <c r="BI880" s="2"/>
      <c r="BJ880" s="2"/>
    </row>
    <row r="881" ht="14.25" customHeight="1">
      <c r="E881" s="2"/>
      <c r="K881" s="2"/>
      <c r="L881" s="2"/>
      <c r="M881" s="2"/>
      <c r="N881" s="2"/>
      <c r="AD881" s="2"/>
      <c r="AE881" s="2"/>
      <c r="BA881" s="2"/>
      <c r="BD881" s="2"/>
      <c r="BF881" s="2"/>
      <c r="BH881" s="2"/>
      <c r="BI881" s="2"/>
      <c r="BJ881" s="2"/>
    </row>
    <row r="882" ht="14.25" customHeight="1">
      <c r="E882" s="2"/>
      <c r="K882" s="2"/>
      <c r="L882" s="2"/>
      <c r="M882" s="2"/>
      <c r="N882" s="2"/>
      <c r="AD882" s="2"/>
      <c r="AE882" s="2"/>
      <c r="BA882" s="2"/>
      <c r="BD882" s="2"/>
      <c r="BF882" s="2"/>
      <c r="BH882" s="2"/>
      <c r="BI882" s="2"/>
      <c r="BJ882" s="2"/>
    </row>
    <row r="883" ht="14.25" customHeight="1">
      <c r="E883" s="2"/>
      <c r="K883" s="2"/>
      <c r="L883" s="2"/>
      <c r="M883" s="2"/>
      <c r="N883" s="2"/>
      <c r="AD883" s="2"/>
      <c r="AE883" s="2"/>
      <c r="BA883" s="2"/>
      <c r="BD883" s="2"/>
      <c r="BF883" s="2"/>
      <c r="BH883" s="2"/>
      <c r="BI883" s="2"/>
      <c r="BJ883" s="2"/>
    </row>
    <row r="884" ht="14.25" customHeight="1">
      <c r="E884" s="2"/>
      <c r="K884" s="2"/>
      <c r="L884" s="2"/>
      <c r="M884" s="2"/>
      <c r="N884" s="2"/>
      <c r="AD884" s="2"/>
      <c r="AE884" s="2"/>
      <c r="BA884" s="2"/>
      <c r="BD884" s="2"/>
      <c r="BF884" s="2"/>
      <c r="BH884" s="2"/>
      <c r="BI884" s="2"/>
      <c r="BJ884" s="2"/>
    </row>
    <row r="885" ht="14.25" customHeight="1">
      <c r="E885" s="2"/>
      <c r="K885" s="2"/>
      <c r="L885" s="2"/>
      <c r="M885" s="2"/>
      <c r="N885" s="2"/>
      <c r="AD885" s="2"/>
      <c r="AE885" s="2"/>
      <c r="BA885" s="2"/>
      <c r="BD885" s="2"/>
      <c r="BF885" s="2"/>
      <c r="BH885" s="2"/>
      <c r="BI885" s="2"/>
      <c r="BJ885" s="2"/>
    </row>
    <row r="886" ht="14.25" customHeight="1">
      <c r="E886" s="2"/>
      <c r="K886" s="2"/>
      <c r="L886" s="2"/>
      <c r="M886" s="2"/>
      <c r="N886" s="2"/>
      <c r="AD886" s="2"/>
      <c r="AE886" s="2"/>
      <c r="BA886" s="2"/>
      <c r="BD886" s="2"/>
      <c r="BF886" s="2"/>
      <c r="BH886" s="2"/>
      <c r="BI886" s="2"/>
      <c r="BJ886" s="2"/>
    </row>
    <row r="887" ht="14.25" customHeight="1">
      <c r="E887" s="2"/>
      <c r="K887" s="2"/>
      <c r="L887" s="2"/>
      <c r="M887" s="2"/>
      <c r="N887" s="2"/>
      <c r="AD887" s="2"/>
      <c r="AE887" s="2"/>
      <c r="BA887" s="2"/>
      <c r="BD887" s="2"/>
      <c r="BF887" s="2"/>
      <c r="BH887" s="2"/>
      <c r="BI887" s="2"/>
      <c r="BJ887" s="2"/>
    </row>
    <row r="888" ht="14.25" customHeight="1">
      <c r="E888" s="2"/>
      <c r="K888" s="2"/>
      <c r="L888" s="2"/>
      <c r="M888" s="2"/>
      <c r="N888" s="2"/>
      <c r="AD888" s="2"/>
      <c r="AE888" s="2"/>
      <c r="BA888" s="2"/>
      <c r="BD888" s="2"/>
      <c r="BF888" s="2"/>
      <c r="BH888" s="2"/>
      <c r="BI888" s="2"/>
      <c r="BJ888" s="2"/>
    </row>
    <row r="889" ht="14.25" customHeight="1">
      <c r="E889" s="2"/>
      <c r="K889" s="2"/>
      <c r="L889" s="2"/>
      <c r="M889" s="2"/>
      <c r="N889" s="2"/>
      <c r="AD889" s="2"/>
      <c r="AE889" s="2"/>
      <c r="BA889" s="2"/>
      <c r="BD889" s="2"/>
      <c r="BF889" s="2"/>
      <c r="BH889" s="2"/>
      <c r="BI889" s="2"/>
      <c r="BJ889" s="2"/>
    </row>
    <row r="890" ht="14.25" customHeight="1">
      <c r="E890" s="2"/>
      <c r="K890" s="2"/>
      <c r="L890" s="2"/>
      <c r="M890" s="2"/>
      <c r="N890" s="2"/>
      <c r="AD890" s="2"/>
      <c r="AE890" s="2"/>
      <c r="BA890" s="2"/>
      <c r="BD890" s="2"/>
      <c r="BF890" s="2"/>
      <c r="BH890" s="2"/>
      <c r="BI890" s="2"/>
      <c r="BJ890" s="2"/>
    </row>
    <row r="891" ht="14.25" customHeight="1">
      <c r="E891" s="2"/>
      <c r="K891" s="2"/>
      <c r="L891" s="2"/>
      <c r="M891" s="2"/>
      <c r="N891" s="2"/>
      <c r="AD891" s="2"/>
      <c r="AE891" s="2"/>
      <c r="BA891" s="2"/>
      <c r="BD891" s="2"/>
      <c r="BF891" s="2"/>
      <c r="BH891" s="2"/>
      <c r="BI891" s="2"/>
      <c r="BJ891" s="2"/>
    </row>
    <row r="892" ht="14.25" customHeight="1">
      <c r="E892" s="2"/>
      <c r="K892" s="2"/>
      <c r="L892" s="2"/>
      <c r="M892" s="2"/>
      <c r="N892" s="2"/>
      <c r="AD892" s="2"/>
      <c r="AE892" s="2"/>
      <c r="BA892" s="2"/>
      <c r="BD892" s="2"/>
      <c r="BF892" s="2"/>
      <c r="BH892" s="2"/>
      <c r="BI892" s="2"/>
      <c r="BJ892" s="2"/>
    </row>
    <row r="893" ht="14.25" customHeight="1">
      <c r="E893" s="2"/>
      <c r="K893" s="2"/>
      <c r="L893" s="2"/>
      <c r="M893" s="2"/>
      <c r="N893" s="2"/>
      <c r="AD893" s="2"/>
      <c r="AE893" s="2"/>
      <c r="BA893" s="2"/>
      <c r="BD893" s="2"/>
      <c r="BF893" s="2"/>
      <c r="BH893" s="2"/>
      <c r="BI893" s="2"/>
      <c r="BJ893" s="2"/>
    </row>
    <row r="894" ht="14.25" customHeight="1">
      <c r="E894" s="2"/>
      <c r="K894" s="2"/>
      <c r="L894" s="2"/>
      <c r="M894" s="2"/>
      <c r="N894" s="2"/>
      <c r="AD894" s="2"/>
      <c r="AE894" s="2"/>
      <c r="BA894" s="2"/>
      <c r="BD894" s="2"/>
      <c r="BF894" s="2"/>
      <c r="BH894" s="2"/>
      <c r="BI894" s="2"/>
      <c r="BJ894" s="2"/>
    </row>
    <row r="895" ht="14.25" customHeight="1">
      <c r="E895" s="2"/>
      <c r="K895" s="2"/>
      <c r="L895" s="2"/>
      <c r="M895" s="2"/>
      <c r="N895" s="2"/>
      <c r="AD895" s="2"/>
      <c r="AE895" s="2"/>
      <c r="BA895" s="2"/>
      <c r="BD895" s="2"/>
      <c r="BF895" s="2"/>
      <c r="BH895" s="2"/>
      <c r="BI895" s="2"/>
      <c r="BJ895" s="2"/>
    </row>
    <row r="896" ht="14.25" customHeight="1">
      <c r="E896" s="2"/>
      <c r="K896" s="2"/>
      <c r="L896" s="2"/>
      <c r="M896" s="2"/>
      <c r="N896" s="2"/>
      <c r="AD896" s="2"/>
      <c r="AE896" s="2"/>
      <c r="BA896" s="2"/>
      <c r="BD896" s="2"/>
      <c r="BF896" s="2"/>
      <c r="BH896" s="2"/>
      <c r="BI896" s="2"/>
      <c r="BJ896" s="2"/>
    </row>
    <row r="897" ht="14.25" customHeight="1">
      <c r="E897" s="2"/>
      <c r="K897" s="2"/>
      <c r="L897" s="2"/>
      <c r="M897" s="2"/>
      <c r="N897" s="2"/>
      <c r="AD897" s="2"/>
      <c r="AE897" s="2"/>
      <c r="BA897" s="2"/>
      <c r="BD897" s="2"/>
      <c r="BF897" s="2"/>
      <c r="BH897" s="2"/>
      <c r="BI897" s="2"/>
      <c r="BJ897" s="2"/>
    </row>
    <row r="898" ht="14.25" customHeight="1">
      <c r="E898" s="2"/>
      <c r="K898" s="2"/>
      <c r="L898" s="2"/>
      <c r="M898" s="2"/>
      <c r="N898" s="2"/>
      <c r="AD898" s="2"/>
      <c r="AE898" s="2"/>
      <c r="BA898" s="2"/>
      <c r="BD898" s="2"/>
      <c r="BF898" s="2"/>
      <c r="BH898" s="2"/>
      <c r="BI898" s="2"/>
      <c r="BJ898" s="2"/>
    </row>
    <row r="899" ht="14.25" customHeight="1">
      <c r="E899" s="2"/>
      <c r="K899" s="2"/>
      <c r="L899" s="2"/>
      <c r="M899" s="2"/>
      <c r="N899" s="2"/>
      <c r="AD899" s="2"/>
      <c r="AE899" s="2"/>
      <c r="BA899" s="2"/>
      <c r="BD899" s="2"/>
      <c r="BF899" s="2"/>
      <c r="BH899" s="2"/>
      <c r="BI899" s="2"/>
      <c r="BJ899" s="2"/>
    </row>
    <row r="900" ht="14.25" customHeight="1">
      <c r="E900" s="2"/>
      <c r="K900" s="2"/>
      <c r="L900" s="2"/>
      <c r="M900" s="2"/>
      <c r="N900" s="2"/>
      <c r="AD900" s="2"/>
      <c r="AE900" s="2"/>
      <c r="BA900" s="2"/>
      <c r="BD900" s="2"/>
      <c r="BF900" s="2"/>
      <c r="BH900" s="2"/>
      <c r="BI900" s="2"/>
      <c r="BJ900" s="2"/>
    </row>
    <row r="901" ht="14.25" customHeight="1">
      <c r="E901" s="2"/>
      <c r="K901" s="2"/>
      <c r="L901" s="2"/>
      <c r="M901" s="2"/>
      <c r="N901" s="2"/>
      <c r="AD901" s="2"/>
      <c r="AE901" s="2"/>
      <c r="BA901" s="2"/>
      <c r="BD901" s="2"/>
      <c r="BF901" s="2"/>
      <c r="BH901" s="2"/>
      <c r="BI901" s="2"/>
      <c r="BJ901" s="2"/>
    </row>
    <row r="902" ht="14.25" customHeight="1">
      <c r="E902" s="2"/>
      <c r="K902" s="2"/>
      <c r="L902" s="2"/>
      <c r="M902" s="2"/>
      <c r="N902" s="2"/>
      <c r="AD902" s="2"/>
      <c r="AE902" s="2"/>
      <c r="BA902" s="2"/>
      <c r="BD902" s="2"/>
      <c r="BF902" s="2"/>
      <c r="BH902" s="2"/>
      <c r="BI902" s="2"/>
      <c r="BJ902" s="2"/>
    </row>
    <row r="903" ht="14.25" customHeight="1">
      <c r="E903" s="2"/>
      <c r="K903" s="2"/>
      <c r="L903" s="2"/>
      <c r="M903" s="2"/>
      <c r="N903" s="2"/>
      <c r="AD903" s="2"/>
      <c r="AE903" s="2"/>
      <c r="BA903" s="2"/>
      <c r="BD903" s="2"/>
      <c r="BF903" s="2"/>
      <c r="BH903" s="2"/>
      <c r="BI903" s="2"/>
      <c r="BJ903" s="2"/>
    </row>
    <row r="904" ht="14.25" customHeight="1">
      <c r="E904" s="2"/>
      <c r="K904" s="2"/>
      <c r="L904" s="2"/>
      <c r="M904" s="2"/>
      <c r="N904" s="2"/>
      <c r="AD904" s="2"/>
      <c r="AE904" s="2"/>
      <c r="BA904" s="2"/>
      <c r="BD904" s="2"/>
      <c r="BF904" s="2"/>
      <c r="BH904" s="2"/>
      <c r="BI904" s="2"/>
      <c r="BJ904" s="2"/>
    </row>
    <row r="905" ht="14.25" customHeight="1">
      <c r="E905" s="2"/>
      <c r="K905" s="2"/>
      <c r="L905" s="2"/>
      <c r="M905" s="2"/>
      <c r="N905" s="2"/>
      <c r="AD905" s="2"/>
      <c r="AE905" s="2"/>
      <c r="BA905" s="2"/>
      <c r="BD905" s="2"/>
      <c r="BF905" s="2"/>
      <c r="BH905" s="2"/>
      <c r="BI905" s="2"/>
      <c r="BJ905" s="2"/>
    </row>
    <row r="906" ht="14.25" customHeight="1">
      <c r="E906" s="2"/>
      <c r="K906" s="2"/>
      <c r="L906" s="2"/>
      <c r="M906" s="2"/>
      <c r="N906" s="2"/>
      <c r="AD906" s="2"/>
      <c r="AE906" s="2"/>
      <c r="BA906" s="2"/>
      <c r="BD906" s="2"/>
      <c r="BF906" s="2"/>
      <c r="BH906" s="2"/>
      <c r="BI906" s="2"/>
      <c r="BJ906" s="2"/>
    </row>
    <row r="907" ht="14.25" customHeight="1">
      <c r="E907" s="2"/>
      <c r="K907" s="2"/>
      <c r="L907" s="2"/>
      <c r="M907" s="2"/>
      <c r="N907" s="2"/>
      <c r="AD907" s="2"/>
      <c r="AE907" s="2"/>
      <c r="BA907" s="2"/>
      <c r="BD907" s="2"/>
      <c r="BF907" s="2"/>
      <c r="BH907" s="2"/>
      <c r="BI907" s="2"/>
      <c r="BJ907" s="2"/>
    </row>
    <row r="908" ht="14.25" customHeight="1">
      <c r="E908" s="2"/>
      <c r="K908" s="2"/>
      <c r="L908" s="2"/>
      <c r="M908" s="2"/>
      <c r="N908" s="2"/>
      <c r="AD908" s="2"/>
      <c r="AE908" s="2"/>
      <c r="BA908" s="2"/>
      <c r="BD908" s="2"/>
      <c r="BF908" s="2"/>
      <c r="BH908" s="2"/>
      <c r="BI908" s="2"/>
      <c r="BJ908" s="2"/>
    </row>
    <row r="909" ht="14.25" customHeight="1">
      <c r="E909" s="2"/>
      <c r="K909" s="2"/>
      <c r="L909" s="2"/>
      <c r="M909" s="2"/>
      <c r="N909" s="2"/>
      <c r="AD909" s="2"/>
      <c r="AE909" s="2"/>
      <c r="BA909" s="2"/>
      <c r="BD909" s="2"/>
      <c r="BF909" s="2"/>
      <c r="BH909" s="2"/>
      <c r="BI909" s="2"/>
      <c r="BJ909" s="2"/>
    </row>
    <row r="910" ht="14.25" customHeight="1">
      <c r="E910" s="2"/>
      <c r="K910" s="2"/>
      <c r="L910" s="2"/>
      <c r="M910" s="2"/>
      <c r="N910" s="2"/>
      <c r="AD910" s="2"/>
      <c r="AE910" s="2"/>
      <c r="BA910" s="2"/>
      <c r="BD910" s="2"/>
      <c r="BF910" s="2"/>
      <c r="BH910" s="2"/>
      <c r="BI910" s="2"/>
      <c r="BJ910" s="2"/>
    </row>
    <row r="911" ht="14.25" customHeight="1">
      <c r="E911" s="2"/>
      <c r="K911" s="2"/>
      <c r="L911" s="2"/>
      <c r="M911" s="2"/>
      <c r="N911" s="2"/>
      <c r="AD911" s="2"/>
      <c r="AE911" s="2"/>
      <c r="BA911" s="2"/>
      <c r="BD911" s="2"/>
      <c r="BF911" s="2"/>
      <c r="BH911" s="2"/>
      <c r="BI911" s="2"/>
      <c r="BJ911" s="2"/>
    </row>
    <row r="912" ht="14.25" customHeight="1">
      <c r="E912" s="2"/>
      <c r="K912" s="2"/>
      <c r="L912" s="2"/>
      <c r="M912" s="2"/>
      <c r="N912" s="2"/>
      <c r="AD912" s="2"/>
      <c r="AE912" s="2"/>
      <c r="BA912" s="2"/>
      <c r="BD912" s="2"/>
      <c r="BF912" s="2"/>
      <c r="BH912" s="2"/>
      <c r="BI912" s="2"/>
      <c r="BJ912" s="2"/>
    </row>
    <row r="913" ht="14.25" customHeight="1">
      <c r="E913" s="2"/>
      <c r="K913" s="2"/>
      <c r="L913" s="2"/>
      <c r="M913" s="2"/>
      <c r="N913" s="2"/>
      <c r="AD913" s="2"/>
      <c r="AE913" s="2"/>
      <c r="BA913" s="2"/>
      <c r="BD913" s="2"/>
      <c r="BF913" s="2"/>
      <c r="BH913" s="2"/>
      <c r="BI913" s="2"/>
      <c r="BJ913" s="2"/>
    </row>
    <row r="914" ht="14.25" customHeight="1">
      <c r="E914" s="2"/>
      <c r="K914" s="2"/>
      <c r="L914" s="2"/>
      <c r="M914" s="2"/>
      <c r="N914" s="2"/>
      <c r="AD914" s="2"/>
      <c r="AE914" s="2"/>
      <c r="BA914" s="2"/>
      <c r="BD914" s="2"/>
      <c r="BF914" s="2"/>
      <c r="BH914" s="2"/>
      <c r="BI914" s="2"/>
      <c r="BJ914" s="2"/>
    </row>
    <row r="915" ht="14.25" customHeight="1">
      <c r="E915" s="2"/>
      <c r="K915" s="2"/>
      <c r="L915" s="2"/>
      <c r="M915" s="2"/>
      <c r="N915" s="2"/>
      <c r="AD915" s="2"/>
      <c r="AE915" s="2"/>
      <c r="BA915" s="2"/>
      <c r="BD915" s="2"/>
      <c r="BF915" s="2"/>
      <c r="BH915" s="2"/>
      <c r="BI915" s="2"/>
      <c r="BJ915" s="2"/>
    </row>
    <row r="916" ht="14.25" customHeight="1">
      <c r="E916" s="2"/>
      <c r="K916" s="2"/>
      <c r="L916" s="2"/>
      <c r="M916" s="2"/>
      <c r="N916" s="2"/>
      <c r="AD916" s="2"/>
      <c r="AE916" s="2"/>
      <c r="BA916" s="2"/>
      <c r="BD916" s="2"/>
      <c r="BF916" s="2"/>
      <c r="BH916" s="2"/>
      <c r="BI916" s="2"/>
      <c r="BJ916" s="2"/>
    </row>
    <row r="917" ht="14.25" customHeight="1">
      <c r="E917" s="2"/>
      <c r="K917" s="2"/>
      <c r="L917" s="2"/>
      <c r="M917" s="2"/>
      <c r="N917" s="2"/>
      <c r="AD917" s="2"/>
      <c r="AE917" s="2"/>
      <c r="BA917" s="2"/>
      <c r="BD917" s="2"/>
      <c r="BF917" s="2"/>
      <c r="BH917" s="2"/>
      <c r="BI917" s="2"/>
      <c r="BJ917" s="2"/>
    </row>
    <row r="918" ht="14.25" customHeight="1">
      <c r="E918" s="2"/>
      <c r="K918" s="2"/>
      <c r="L918" s="2"/>
      <c r="M918" s="2"/>
      <c r="N918" s="2"/>
      <c r="AD918" s="2"/>
      <c r="AE918" s="2"/>
      <c r="BA918" s="2"/>
      <c r="BD918" s="2"/>
      <c r="BF918" s="2"/>
      <c r="BH918" s="2"/>
      <c r="BI918" s="2"/>
      <c r="BJ918" s="2"/>
    </row>
    <row r="919" ht="14.25" customHeight="1">
      <c r="E919" s="2"/>
      <c r="K919" s="2"/>
      <c r="L919" s="2"/>
      <c r="M919" s="2"/>
      <c r="N919" s="2"/>
      <c r="AD919" s="2"/>
      <c r="AE919" s="2"/>
      <c r="BA919" s="2"/>
      <c r="BD919" s="2"/>
      <c r="BF919" s="2"/>
      <c r="BH919" s="2"/>
      <c r="BI919" s="2"/>
      <c r="BJ919" s="2"/>
    </row>
    <row r="920" ht="14.25" customHeight="1">
      <c r="E920" s="2"/>
      <c r="K920" s="2"/>
      <c r="L920" s="2"/>
      <c r="M920" s="2"/>
      <c r="N920" s="2"/>
      <c r="AD920" s="2"/>
      <c r="AE920" s="2"/>
      <c r="BA920" s="2"/>
      <c r="BD920" s="2"/>
      <c r="BF920" s="2"/>
      <c r="BH920" s="2"/>
      <c r="BI920" s="2"/>
      <c r="BJ920" s="2"/>
    </row>
    <row r="921" ht="14.25" customHeight="1">
      <c r="E921" s="2"/>
      <c r="K921" s="2"/>
      <c r="L921" s="2"/>
      <c r="M921" s="2"/>
      <c r="N921" s="2"/>
      <c r="AD921" s="2"/>
      <c r="AE921" s="2"/>
      <c r="BA921" s="2"/>
      <c r="BD921" s="2"/>
      <c r="BF921" s="2"/>
      <c r="BH921" s="2"/>
      <c r="BI921" s="2"/>
      <c r="BJ921" s="2"/>
    </row>
    <row r="922" ht="14.25" customHeight="1">
      <c r="E922" s="2"/>
      <c r="K922" s="2"/>
      <c r="L922" s="2"/>
      <c r="M922" s="2"/>
      <c r="N922" s="2"/>
      <c r="AD922" s="2"/>
      <c r="AE922" s="2"/>
      <c r="BA922" s="2"/>
      <c r="BD922" s="2"/>
      <c r="BF922" s="2"/>
      <c r="BH922" s="2"/>
      <c r="BI922" s="2"/>
      <c r="BJ922" s="2"/>
    </row>
    <row r="923" ht="14.25" customHeight="1">
      <c r="E923" s="2"/>
      <c r="K923" s="2"/>
      <c r="L923" s="2"/>
      <c r="M923" s="2"/>
      <c r="N923" s="2"/>
      <c r="AD923" s="2"/>
      <c r="AE923" s="2"/>
      <c r="BA923" s="2"/>
      <c r="BD923" s="2"/>
      <c r="BF923" s="2"/>
      <c r="BH923" s="2"/>
      <c r="BI923" s="2"/>
      <c r="BJ923" s="2"/>
    </row>
    <row r="924" ht="14.25" customHeight="1">
      <c r="E924" s="2"/>
      <c r="K924" s="2"/>
      <c r="L924" s="2"/>
      <c r="M924" s="2"/>
      <c r="N924" s="2"/>
      <c r="AD924" s="2"/>
      <c r="AE924" s="2"/>
      <c r="BA924" s="2"/>
      <c r="BD924" s="2"/>
      <c r="BF924" s="2"/>
      <c r="BH924" s="2"/>
      <c r="BI924" s="2"/>
      <c r="BJ924" s="2"/>
    </row>
    <row r="925" ht="14.25" customHeight="1">
      <c r="E925" s="2"/>
      <c r="K925" s="2"/>
      <c r="L925" s="2"/>
      <c r="M925" s="2"/>
      <c r="N925" s="2"/>
      <c r="AD925" s="2"/>
      <c r="AE925" s="2"/>
      <c r="BA925" s="2"/>
      <c r="BD925" s="2"/>
      <c r="BF925" s="2"/>
      <c r="BH925" s="2"/>
      <c r="BI925" s="2"/>
      <c r="BJ925" s="2"/>
    </row>
    <row r="926" ht="14.25" customHeight="1">
      <c r="E926" s="2"/>
      <c r="K926" s="2"/>
      <c r="L926" s="2"/>
      <c r="M926" s="2"/>
      <c r="N926" s="2"/>
      <c r="AD926" s="2"/>
      <c r="AE926" s="2"/>
      <c r="BA926" s="2"/>
      <c r="BD926" s="2"/>
      <c r="BF926" s="2"/>
      <c r="BH926" s="2"/>
      <c r="BI926" s="2"/>
      <c r="BJ926" s="2"/>
    </row>
    <row r="927" ht="14.25" customHeight="1">
      <c r="E927" s="2"/>
      <c r="K927" s="2"/>
      <c r="L927" s="2"/>
      <c r="M927" s="2"/>
      <c r="N927" s="2"/>
      <c r="AD927" s="2"/>
      <c r="AE927" s="2"/>
      <c r="BA927" s="2"/>
      <c r="BD927" s="2"/>
      <c r="BF927" s="2"/>
      <c r="BH927" s="2"/>
      <c r="BI927" s="2"/>
      <c r="BJ927" s="2"/>
    </row>
    <row r="928" ht="14.25" customHeight="1">
      <c r="E928" s="2"/>
      <c r="K928" s="2"/>
      <c r="L928" s="2"/>
      <c r="M928" s="2"/>
      <c r="N928" s="2"/>
      <c r="AD928" s="2"/>
      <c r="AE928" s="2"/>
      <c r="BA928" s="2"/>
      <c r="BD928" s="2"/>
      <c r="BF928" s="2"/>
      <c r="BH928" s="2"/>
      <c r="BI928" s="2"/>
      <c r="BJ928" s="2"/>
    </row>
    <row r="929" ht="14.25" customHeight="1">
      <c r="E929" s="2"/>
      <c r="K929" s="2"/>
      <c r="L929" s="2"/>
      <c r="M929" s="2"/>
      <c r="N929" s="2"/>
      <c r="AD929" s="2"/>
      <c r="AE929" s="2"/>
      <c r="BA929" s="2"/>
      <c r="BD929" s="2"/>
      <c r="BF929" s="2"/>
      <c r="BH929" s="2"/>
      <c r="BI929" s="2"/>
      <c r="BJ929" s="2"/>
    </row>
    <row r="930" ht="14.25" customHeight="1">
      <c r="E930" s="2"/>
      <c r="K930" s="2"/>
      <c r="L930" s="2"/>
      <c r="M930" s="2"/>
      <c r="N930" s="2"/>
      <c r="AD930" s="2"/>
      <c r="AE930" s="2"/>
      <c r="BA930" s="2"/>
      <c r="BD930" s="2"/>
      <c r="BF930" s="2"/>
      <c r="BH930" s="2"/>
      <c r="BI930" s="2"/>
      <c r="BJ930" s="2"/>
    </row>
    <row r="931" ht="14.25" customHeight="1">
      <c r="E931" s="2"/>
      <c r="K931" s="2"/>
      <c r="L931" s="2"/>
      <c r="M931" s="2"/>
      <c r="N931" s="2"/>
      <c r="AD931" s="2"/>
      <c r="AE931" s="2"/>
      <c r="BA931" s="2"/>
      <c r="BD931" s="2"/>
      <c r="BF931" s="2"/>
      <c r="BH931" s="2"/>
      <c r="BI931" s="2"/>
      <c r="BJ931" s="2"/>
    </row>
    <row r="932" ht="14.25" customHeight="1">
      <c r="E932" s="2"/>
      <c r="K932" s="2"/>
      <c r="L932" s="2"/>
      <c r="M932" s="2"/>
      <c r="N932" s="2"/>
      <c r="AD932" s="2"/>
      <c r="AE932" s="2"/>
      <c r="BA932" s="2"/>
      <c r="BD932" s="2"/>
      <c r="BF932" s="2"/>
      <c r="BH932" s="2"/>
      <c r="BI932" s="2"/>
      <c r="BJ932" s="2"/>
    </row>
    <row r="933" ht="14.25" customHeight="1">
      <c r="E933" s="2"/>
      <c r="K933" s="2"/>
      <c r="L933" s="2"/>
      <c r="M933" s="2"/>
      <c r="N933" s="2"/>
      <c r="AD933" s="2"/>
      <c r="AE933" s="2"/>
      <c r="BA933" s="2"/>
      <c r="BD933" s="2"/>
      <c r="BF933" s="2"/>
      <c r="BH933" s="2"/>
      <c r="BI933" s="2"/>
      <c r="BJ933" s="2"/>
    </row>
    <row r="934" ht="14.25" customHeight="1">
      <c r="E934" s="2"/>
      <c r="K934" s="2"/>
      <c r="L934" s="2"/>
      <c r="M934" s="2"/>
      <c r="N934" s="2"/>
      <c r="AD934" s="2"/>
      <c r="AE934" s="2"/>
      <c r="BA934" s="2"/>
      <c r="BD934" s="2"/>
      <c r="BF934" s="2"/>
      <c r="BH934" s="2"/>
      <c r="BI934" s="2"/>
      <c r="BJ934" s="2"/>
    </row>
    <row r="935" ht="14.25" customHeight="1">
      <c r="E935" s="2"/>
      <c r="K935" s="2"/>
      <c r="L935" s="2"/>
      <c r="M935" s="2"/>
      <c r="N935" s="2"/>
      <c r="AD935" s="2"/>
      <c r="AE935" s="2"/>
      <c r="BA935" s="2"/>
      <c r="BD935" s="2"/>
      <c r="BF935" s="2"/>
      <c r="BH935" s="2"/>
      <c r="BI935" s="2"/>
      <c r="BJ935" s="2"/>
    </row>
    <row r="936" ht="14.25" customHeight="1">
      <c r="E936" s="2"/>
      <c r="K936" s="2"/>
      <c r="L936" s="2"/>
      <c r="M936" s="2"/>
      <c r="N936" s="2"/>
      <c r="AD936" s="2"/>
      <c r="AE936" s="2"/>
      <c r="BA936" s="2"/>
      <c r="BD936" s="2"/>
      <c r="BF936" s="2"/>
      <c r="BH936" s="2"/>
      <c r="BI936" s="2"/>
      <c r="BJ936" s="2"/>
    </row>
    <row r="937" ht="14.25" customHeight="1">
      <c r="E937" s="2"/>
      <c r="K937" s="2"/>
      <c r="L937" s="2"/>
      <c r="M937" s="2"/>
      <c r="N937" s="2"/>
      <c r="AD937" s="2"/>
      <c r="AE937" s="2"/>
      <c r="BA937" s="2"/>
      <c r="BD937" s="2"/>
      <c r="BF937" s="2"/>
      <c r="BH937" s="2"/>
      <c r="BI937" s="2"/>
      <c r="BJ937" s="2"/>
    </row>
    <row r="938" ht="14.25" customHeight="1">
      <c r="E938" s="2"/>
      <c r="K938" s="2"/>
      <c r="L938" s="2"/>
      <c r="M938" s="2"/>
      <c r="N938" s="2"/>
      <c r="AD938" s="2"/>
      <c r="AE938" s="2"/>
      <c r="BA938" s="2"/>
      <c r="BD938" s="2"/>
      <c r="BF938" s="2"/>
      <c r="BH938" s="2"/>
      <c r="BI938" s="2"/>
      <c r="BJ938" s="2"/>
    </row>
    <row r="939" ht="14.25" customHeight="1">
      <c r="E939" s="2"/>
      <c r="K939" s="2"/>
      <c r="L939" s="2"/>
      <c r="M939" s="2"/>
      <c r="N939" s="2"/>
      <c r="AD939" s="2"/>
      <c r="AE939" s="2"/>
      <c r="BA939" s="2"/>
      <c r="BD939" s="2"/>
      <c r="BF939" s="2"/>
      <c r="BH939" s="2"/>
      <c r="BI939" s="2"/>
      <c r="BJ939" s="2"/>
    </row>
    <row r="940" ht="14.25" customHeight="1">
      <c r="E940" s="2"/>
      <c r="K940" s="2"/>
      <c r="L940" s="2"/>
      <c r="M940" s="2"/>
      <c r="N940" s="2"/>
      <c r="AD940" s="2"/>
      <c r="AE940" s="2"/>
      <c r="BA940" s="2"/>
      <c r="BD940" s="2"/>
      <c r="BF940" s="2"/>
      <c r="BH940" s="2"/>
      <c r="BI940" s="2"/>
      <c r="BJ940" s="2"/>
    </row>
    <row r="941" ht="14.25" customHeight="1">
      <c r="E941" s="2"/>
      <c r="K941" s="2"/>
      <c r="L941" s="2"/>
      <c r="M941" s="2"/>
      <c r="N941" s="2"/>
      <c r="AD941" s="2"/>
      <c r="AE941" s="2"/>
      <c r="BA941" s="2"/>
      <c r="BD941" s="2"/>
      <c r="BF941" s="2"/>
      <c r="BH941" s="2"/>
      <c r="BI941" s="2"/>
      <c r="BJ941" s="2"/>
    </row>
    <row r="942" ht="14.25" customHeight="1">
      <c r="E942" s="2"/>
      <c r="K942" s="2"/>
      <c r="L942" s="2"/>
      <c r="M942" s="2"/>
      <c r="N942" s="2"/>
      <c r="AD942" s="2"/>
      <c r="AE942" s="2"/>
      <c r="BA942" s="2"/>
      <c r="BD942" s="2"/>
      <c r="BF942" s="2"/>
      <c r="BH942" s="2"/>
      <c r="BI942" s="2"/>
      <c r="BJ942" s="2"/>
    </row>
    <row r="943" ht="14.25" customHeight="1">
      <c r="E943" s="2"/>
      <c r="K943" s="2"/>
      <c r="L943" s="2"/>
      <c r="M943" s="2"/>
      <c r="N943" s="2"/>
      <c r="AD943" s="2"/>
      <c r="AE943" s="2"/>
      <c r="BA943" s="2"/>
      <c r="BD943" s="2"/>
      <c r="BF943" s="2"/>
      <c r="BH943" s="2"/>
      <c r="BI943" s="2"/>
      <c r="BJ943" s="2"/>
    </row>
    <row r="944" ht="14.25" customHeight="1">
      <c r="E944" s="2"/>
      <c r="K944" s="2"/>
      <c r="L944" s="2"/>
      <c r="M944" s="2"/>
      <c r="N944" s="2"/>
      <c r="AD944" s="2"/>
      <c r="AE944" s="2"/>
      <c r="BA944" s="2"/>
      <c r="BD944" s="2"/>
      <c r="BF944" s="2"/>
      <c r="BH944" s="2"/>
      <c r="BI944" s="2"/>
      <c r="BJ944" s="2"/>
    </row>
    <row r="945" ht="14.25" customHeight="1">
      <c r="E945" s="2"/>
      <c r="K945" s="2"/>
      <c r="L945" s="2"/>
      <c r="M945" s="2"/>
      <c r="N945" s="2"/>
      <c r="AD945" s="2"/>
      <c r="AE945" s="2"/>
      <c r="BA945" s="2"/>
      <c r="BD945" s="2"/>
      <c r="BF945" s="2"/>
      <c r="BH945" s="2"/>
      <c r="BI945" s="2"/>
      <c r="BJ945" s="2"/>
    </row>
    <row r="946" ht="14.25" customHeight="1">
      <c r="E946" s="2"/>
      <c r="K946" s="2"/>
      <c r="L946" s="2"/>
      <c r="M946" s="2"/>
      <c r="N946" s="2"/>
      <c r="AD946" s="2"/>
      <c r="AE946" s="2"/>
      <c r="BA946" s="2"/>
      <c r="BD946" s="2"/>
      <c r="BF946" s="2"/>
      <c r="BH946" s="2"/>
      <c r="BI946" s="2"/>
      <c r="BJ946" s="2"/>
    </row>
    <row r="947" ht="14.25" customHeight="1">
      <c r="E947" s="2"/>
      <c r="K947" s="2"/>
      <c r="L947" s="2"/>
      <c r="M947" s="2"/>
      <c r="N947" s="2"/>
      <c r="AD947" s="2"/>
      <c r="AE947" s="2"/>
      <c r="BA947" s="2"/>
      <c r="BD947" s="2"/>
      <c r="BF947" s="2"/>
      <c r="BH947" s="2"/>
      <c r="BI947" s="2"/>
      <c r="BJ947" s="2"/>
    </row>
    <row r="948" ht="14.25" customHeight="1">
      <c r="E948" s="2"/>
      <c r="K948" s="2"/>
      <c r="L948" s="2"/>
      <c r="M948" s="2"/>
      <c r="N948" s="2"/>
      <c r="AD948" s="2"/>
      <c r="AE948" s="2"/>
      <c r="BA948" s="2"/>
      <c r="BD948" s="2"/>
      <c r="BF948" s="2"/>
      <c r="BH948" s="2"/>
      <c r="BI948" s="2"/>
      <c r="BJ948" s="2"/>
    </row>
    <row r="949" ht="14.25" customHeight="1">
      <c r="E949" s="2"/>
      <c r="K949" s="2"/>
      <c r="L949" s="2"/>
      <c r="M949" s="2"/>
      <c r="N949" s="2"/>
      <c r="AD949" s="2"/>
      <c r="AE949" s="2"/>
      <c r="BA949" s="2"/>
      <c r="BD949" s="2"/>
      <c r="BF949" s="2"/>
      <c r="BH949" s="2"/>
      <c r="BI949" s="2"/>
      <c r="BJ949" s="2"/>
    </row>
    <row r="950" ht="14.25" customHeight="1">
      <c r="E950" s="2"/>
      <c r="K950" s="2"/>
      <c r="L950" s="2"/>
      <c r="M950" s="2"/>
      <c r="N950" s="2"/>
      <c r="AD950" s="2"/>
      <c r="AE950" s="2"/>
      <c r="BA950" s="2"/>
      <c r="BD950" s="2"/>
      <c r="BF950" s="2"/>
      <c r="BH950" s="2"/>
      <c r="BI950" s="2"/>
      <c r="BJ950" s="2"/>
    </row>
    <row r="951" ht="14.25" customHeight="1">
      <c r="E951" s="2"/>
      <c r="K951" s="2"/>
      <c r="L951" s="2"/>
      <c r="M951" s="2"/>
      <c r="N951" s="2"/>
      <c r="AD951" s="2"/>
      <c r="AE951" s="2"/>
      <c r="BA951" s="2"/>
      <c r="BD951" s="2"/>
      <c r="BF951" s="2"/>
      <c r="BH951" s="2"/>
      <c r="BI951" s="2"/>
      <c r="BJ951" s="2"/>
    </row>
    <row r="952" ht="14.25" customHeight="1">
      <c r="E952" s="2"/>
      <c r="K952" s="2"/>
      <c r="L952" s="2"/>
      <c r="M952" s="2"/>
      <c r="N952" s="2"/>
      <c r="AD952" s="2"/>
      <c r="AE952" s="2"/>
      <c r="BA952" s="2"/>
      <c r="BD952" s="2"/>
      <c r="BF952" s="2"/>
      <c r="BH952" s="2"/>
      <c r="BI952" s="2"/>
      <c r="BJ952" s="2"/>
    </row>
    <row r="953" ht="14.25" customHeight="1">
      <c r="E953" s="2"/>
      <c r="K953" s="2"/>
      <c r="L953" s="2"/>
      <c r="M953" s="2"/>
      <c r="N953" s="2"/>
      <c r="AD953" s="2"/>
      <c r="AE953" s="2"/>
      <c r="BA953" s="2"/>
      <c r="BD953" s="2"/>
      <c r="BF953" s="2"/>
      <c r="BH953" s="2"/>
      <c r="BI953" s="2"/>
      <c r="BJ953" s="2"/>
    </row>
    <row r="954" ht="14.25" customHeight="1">
      <c r="E954" s="2"/>
      <c r="K954" s="2"/>
      <c r="L954" s="2"/>
      <c r="M954" s="2"/>
      <c r="N954" s="2"/>
      <c r="AD954" s="2"/>
      <c r="AE954" s="2"/>
      <c r="BA954" s="2"/>
      <c r="BD954" s="2"/>
      <c r="BF954" s="2"/>
      <c r="BH954" s="2"/>
      <c r="BI954" s="2"/>
      <c r="BJ954" s="2"/>
    </row>
    <row r="955" ht="14.25" customHeight="1">
      <c r="E955" s="2"/>
      <c r="K955" s="2"/>
      <c r="L955" s="2"/>
      <c r="M955" s="2"/>
      <c r="N955" s="2"/>
      <c r="AD955" s="2"/>
      <c r="AE955" s="2"/>
      <c r="BA955" s="2"/>
      <c r="BD955" s="2"/>
      <c r="BF955" s="2"/>
      <c r="BH955" s="2"/>
      <c r="BI955" s="2"/>
      <c r="BJ955" s="2"/>
    </row>
    <row r="956" ht="14.25" customHeight="1">
      <c r="E956" s="2"/>
      <c r="K956" s="2"/>
      <c r="L956" s="2"/>
      <c r="M956" s="2"/>
      <c r="N956" s="2"/>
      <c r="AD956" s="2"/>
      <c r="AE956" s="2"/>
      <c r="BA956" s="2"/>
      <c r="BD956" s="2"/>
      <c r="BF956" s="2"/>
      <c r="BH956" s="2"/>
      <c r="BI956" s="2"/>
      <c r="BJ956" s="2"/>
    </row>
    <row r="957" ht="14.25" customHeight="1">
      <c r="E957" s="2"/>
      <c r="K957" s="2"/>
      <c r="L957" s="2"/>
      <c r="M957" s="2"/>
      <c r="N957" s="2"/>
      <c r="AD957" s="2"/>
      <c r="AE957" s="2"/>
      <c r="BA957" s="2"/>
      <c r="BD957" s="2"/>
      <c r="BF957" s="2"/>
      <c r="BH957" s="2"/>
      <c r="BI957" s="2"/>
      <c r="BJ957" s="2"/>
    </row>
    <row r="958" ht="14.25" customHeight="1">
      <c r="E958" s="2"/>
      <c r="K958" s="2"/>
      <c r="L958" s="2"/>
      <c r="M958" s="2"/>
      <c r="N958" s="2"/>
      <c r="AD958" s="2"/>
      <c r="AE958" s="2"/>
      <c r="BA958" s="2"/>
      <c r="BD958" s="2"/>
      <c r="BF958" s="2"/>
      <c r="BH958" s="2"/>
      <c r="BI958" s="2"/>
      <c r="BJ958" s="2"/>
    </row>
    <row r="959" ht="14.25" customHeight="1">
      <c r="E959" s="2"/>
      <c r="K959" s="2"/>
      <c r="L959" s="2"/>
      <c r="M959" s="2"/>
      <c r="N959" s="2"/>
      <c r="AD959" s="2"/>
      <c r="AE959" s="2"/>
      <c r="BA959" s="2"/>
      <c r="BD959" s="2"/>
      <c r="BF959" s="2"/>
      <c r="BH959" s="2"/>
      <c r="BI959" s="2"/>
      <c r="BJ959" s="2"/>
    </row>
    <row r="960" ht="14.25" customHeight="1">
      <c r="E960" s="2"/>
      <c r="K960" s="2"/>
      <c r="L960" s="2"/>
      <c r="M960" s="2"/>
      <c r="N960" s="2"/>
      <c r="AD960" s="2"/>
      <c r="AE960" s="2"/>
      <c r="BA960" s="2"/>
      <c r="BD960" s="2"/>
      <c r="BF960" s="2"/>
      <c r="BH960" s="2"/>
      <c r="BI960" s="2"/>
      <c r="BJ960" s="2"/>
    </row>
    <row r="961" ht="14.25" customHeight="1">
      <c r="E961" s="2"/>
      <c r="K961" s="2"/>
      <c r="L961" s="2"/>
      <c r="M961" s="2"/>
      <c r="N961" s="2"/>
      <c r="AD961" s="2"/>
      <c r="AE961" s="2"/>
      <c r="BA961" s="2"/>
      <c r="BD961" s="2"/>
      <c r="BF961" s="2"/>
      <c r="BH961" s="2"/>
      <c r="BI961" s="2"/>
      <c r="BJ961" s="2"/>
    </row>
    <row r="962" ht="14.25" customHeight="1">
      <c r="E962" s="2"/>
      <c r="K962" s="2"/>
      <c r="L962" s="2"/>
      <c r="M962" s="2"/>
      <c r="N962" s="2"/>
      <c r="AD962" s="2"/>
      <c r="AE962" s="2"/>
      <c r="BA962" s="2"/>
      <c r="BD962" s="2"/>
      <c r="BF962" s="2"/>
      <c r="BH962" s="2"/>
      <c r="BI962" s="2"/>
      <c r="BJ962" s="2"/>
    </row>
    <row r="963" ht="14.25" customHeight="1">
      <c r="E963" s="2"/>
      <c r="K963" s="2"/>
      <c r="L963" s="2"/>
      <c r="M963" s="2"/>
      <c r="N963" s="2"/>
      <c r="AD963" s="2"/>
      <c r="AE963" s="2"/>
      <c r="BA963" s="2"/>
      <c r="BD963" s="2"/>
      <c r="BF963" s="2"/>
      <c r="BH963" s="2"/>
      <c r="BI963" s="2"/>
      <c r="BJ963" s="2"/>
    </row>
    <row r="964" ht="14.25" customHeight="1">
      <c r="E964" s="2"/>
      <c r="K964" s="2"/>
      <c r="L964" s="2"/>
      <c r="M964" s="2"/>
      <c r="N964" s="2"/>
      <c r="AD964" s="2"/>
      <c r="AE964" s="2"/>
      <c r="BA964" s="2"/>
      <c r="BD964" s="2"/>
      <c r="BF964" s="2"/>
      <c r="BH964" s="2"/>
      <c r="BI964" s="2"/>
      <c r="BJ964" s="2"/>
    </row>
    <row r="965" ht="14.25" customHeight="1">
      <c r="E965" s="2"/>
      <c r="K965" s="2"/>
      <c r="L965" s="2"/>
      <c r="M965" s="2"/>
      <c r="N965" s="2"/>
      <c r="AD965" s="2"/>
      <c r="AE965" s="2"/>
      <c r="BA965" s="2"/>
      <c r="BD965" s="2"/>
      <c r="BF965" s="2"/>
      <c r="BH965" s="2"/>
      <c r="BI965" s="2"/>
      <c r="BJ965" s="2"/>
    </row>
    <row r="966" ht="14.25" customHeight="1">
      <c r="E966" s="2"/>
      <c r="K966" s="2"/>
      <c r="L966" s="2"/>
      <c r="M966" s="2"/>
      <c r="N966" s="2"/>
      <c r="AD966" s="2"/>
      <c r="AE966" s="2"/>
      <c r="BA966" s="2"/>
      <c r="BD966" s="2"/>
      <c r="BF966" s="2"/>
      <c r="BH966" s="2"/>
      <c r="BI966" s="2"/>
      <c r="BJ966" s="2"/>
    </row>
    <row r="967" ht="14.25" customHeight="1">
      <c r="E967" s="2"/>
      <c r="K967" s="2"/>
      <c r="L967" s="2"/>
      <c r="M967" s="2"/>
      <c r="N967" s="2"/>
      <c r="AD967" s="2"/>
      <c r="AE967" s="2"/>
      <c r="BA967" s="2"/>
      <c r="BD967" s="2"/>
      <c r="BF967" s="2"/>
      <c r="BH967" s="2"/>
      <c r="BI967" s="2"/>
      <c r="BJ967" s="2"/>
    </row>
    <row r="968" ht="14.25" customHeight="1">
      <c r="E968" s="2"/>
      <c r="K968" s="2"/>
      <c r="L968" s="2"/>
      <c r="M968" s="2"/>
      <c r="N968" s="2"/>
      <c r="AD968" s="2"/>
      <c r="AE968" s="2"/>
      <c r="BA968" s="2"/>
      <c r="BD968" s="2"/>
      <c r="BF968" s="2"/>
      <c r="BH968" s="2"/>
      <c r="BI968" s="2"/>
      <c r="BJ968" s="2"/>
    </row>
    <row r="969" ht="14.25" customHeight="1">
      <c r="E969" s="2"/>
      <c r="K969" s="2"/>
      <c r="L969" s="2"/>
      <c r="M969" s="2"/>
      <c r="N969" s="2"/>
      <c r="AD969" s="2"/>
      <c r="AE969" s="2"/>
      <c r="BA969" s="2"/>
      <c r="BD969" s="2"/>
      <c r="BF969" s="2"/>
      <c r="BH969" s="2"/>
      <c r="BI969" s="2"/>
      <c r="BJ969" s="2"/>
    </row>
    <row r="970" ht="14.25" customHeight="1">
      <c r="E970" s="2"/>
      <c r="K970" s="2"/>
      <c r="L970" s="2"/>
      <c r="M970" s="2"/>
      <c r="N970" s="2"/>
      <c r="AD970" s="2"/>
      <c r="AE970" s="2"/>
      <c r="BA970" s="2"/>
      <c r="BD970" s="2"/>
      <c r="BF970" s="2"/>
      <c r="BH970" s="2"/>
      <c r="BI970" s="2"/>
      <c r="BJ970" s="2"/>
    </row>
    <row r="971" ht="14.25" customHeight="1">
      <c r="E971" s="2"/>
      <c r="K971" s="2"/>
      <c r="L971" s="2"/>
      <c r="M971" s="2"/>
      <c r="N971" s="2"/>
      <c r="AD971" s="2"/>
      <c r="AE971" s="2"/>
      <c r="BA971" s="2"/>
      <c r="BD971" s="2"/>
      <c r="BF971" s="2"/>
      <c r="BH971" s="2"/>
      <c r="BI971" s="2"/>
      <c r="BJ971" s="2"/>
    </row>
    <row r="972" ht="14.25" customHeight="1">
      <c r="E972" s="2"/>
      <c r="K972" s="2"/>
      <c r="L972" s="2"/>
      <c r="M972" s="2"/>
      <c r="N972" s="2"/>
      <c r="AD972" s="2"/>
      <c r="AE972" s="2"/>
      <c r="BA972" s="2"/>
      <c r="BD972" s="2"/>
      <c r="BF972" s="2"/>
      <c r="BH972" s="2"/>
      <c r="BI972" s="2"/>
      <c r="BJ972" s="2"/>
    </row>
    <row r="973" ht="14.25" customHeight="1">
      <c r="E973" s="2"/>
      <c r="K973" s="2"/>
      <c r="L973" s="2"/>
      <c r="M973" s="2"/>
      <c r="N973" s="2"/>
      <c r="AD973" s="2"/>
      <c r="AE973" s="2"/>
      <c r="BA973" s="2"/>
      <c r="BD973" s="2"/>
      <c r="BF973" s="2"/>
      <c r="BH973" s="2"/>
      <c r="BI973" s="2"/>
      <c r="BJ973" s="2"/>
    </row>
    <row r="974" ht="14.25" customHeight="1">
      <c r="E974" s="2"/>
      <c r="K974" s="2"/>
      <c r="L974" s="2"/>
      <c r="M974" s="2"/>
      <c r="N974" s="2"/>
      <c r="AD974" s="2"/>
      <c r="AE974" s="2"/>
      <c r="BA974" s="2"/>
      <c r="BD974" s="2"/>
      <c r="BF974" s="2"/>
      <c r="BH974" s="2"/>
      <c r="BI974" s="2"/>
      <c r="BJ974" s="2"/>
    </row>
    <row r="975" ht="14.25" customHeight="1">
      <c r="E975" s="2"/>
      <c r="K975" s="2"/>
      <c r="L975" s="2"/>
      <c r="M975" s="2"/>
      <c r="N975" s="2"/>
      <c r="AD975" s="2"/>
      <c r="AE975" s="2"/>
      <c r="BA975" s="2"/>
      <c r="BD975" s="2"/>
      <c r="BF975" s="2"/>
      <c r="BH975" s="2"/>
      <c r="BI975" s="2"/>
      <c r="BJ975" s="2"/>
    </row>
    <row r="976" ht="14.25" customHeight="1">
      <c r="E976" s="2"/>
      <c r="K976" s="2"/>
      <c r="L976" s="2"/>
      <c r="M976" s="2"/>
      <c r="N976" s="2"/>
      <c r="AD976" s="2"/>
      <c r="AE976" s="2"/>
      <c r="BA976" s="2"/>
      <c r="BD976" s="2"/>
      <c r="BF976" s="2"/>
      <c r="BH976" s="2"/>
      <c r="BI976" s="2"/>
      <c r="BJ976" s="2"/>
    </row>
    <row r="977" ht="14.25" customHeight="1">
      <c r="E977" s="2"/>
      <c r="K977" s="2"/>
      <c r="L977" s="2"/>
      <c r="M977" s="2"/>
      <c r="N977" s="2"/>
      <c r="AD977" s="2"/>
      <c r="AE977" s="2"/>
      <c r="BA977" s="2"/>
      <c r="BD977" s="2"/>
      <c r="BF977" s="2"/>
      <c r="BH977" s="2"/>
      <c r="BI977" s="2"/>
      <c r="BJ977" s="2"/>
    </row>
    <row r="978" ht="14.25" customHeight="1">
      <c r="E978" s="2"/>
      <c r="K978" s="2"/>
      <c r="L978" s="2"/>
      <c r="M978" s="2"/>
      <c r="N978" s="2"/>
      <c r="AD978" s="2"/>
      <c r="AE978" s="2"/>
      <c r="BA978" s="2"/>
      <c r="BD978" s="2"/>
      <c r="BF978" s="2"/>
      <c r="BH978" s="2"/>
      <c r="BI978" s="2"/>
      <c r="BJ978" s="2"/>
    </row>
    <row r="979" ht="14.25" customHeight="1">
      <c r="E979" s="2"/>
      <c r="K979" s="2"/>
      <c r="L979" s="2"/>
      <c r="M979" s="2"/>
      <c r="N979" s="2"/>
      <c r="AD979" s="2"/>
      <c r="AE979" s="2"/>
      <c r="BA979" s="2"/>
      <c r="BD979" s="2"/>
      <c r="BF979" s="2"/>
      <c r="BH979" s="2"/>
      <c r="BI979" s="2"/>
      <c r="BJ979" s="2"/>
    </row>
    <row r="980" ht="14.25" customHeight="1">
      <c r="E980" s="2"/>
      <c r="K980" s="2"/>
      <c r="L980" s="2"/>
      <c r="M980" s="2"/>
      <c r="N980" s="2"/>
      <c r="AD980" s="2"/>
      <c r="AE980" s="2"/>
      <c r="BA980" s="2"/>
      <c r="BD980" s="2"/>
      <c r="BF980" s="2"/>
      <c r="BH980" s="2"/>
      <c r="BI980" s="2"/>
      <c r="BJ980" s="2"/>
    </row>
    <row r="981" ht="14.25" customHeight="1">
      <c r="E981" s="2"/>
      <c r="K981" s="2"/>
      <c r="L981" s="2"/>
      <c r="M981" s="2"/>
      <c r="N981" s="2"/>
      <c r="AD981" s="2"/>
      <c r="AE981" s="2"/>
      <c r="BA981" s="2"/>
      <c r="BD981" s="2"/>
      <c r="BF981" s="2"/>
      <c r="BH981" s="2"/>
      <c r="BI981" s="2"/>
      <c r="BJ981" s="2"/>
    </row>
    <row r="982" ht="14.25" customHeight="1">
      <c r="E982" s="2"/>
      <c r="K982" s="2"/>
      <c r="L982" s="2"/>
      <c r="M982" s="2"/>
      <c r="N982" s="2"/>
      <c r="AD982" s="2"/>
      <c r="AE982" s="2"/>
      <c r="BA982" s="2"/>
      <c r="BD982" s="2"/>
      <c r="BF982" s="2"/>
      <c r="BH982" s="2"/>
      <c r="BI982" s="2"/>
      <c r="BJ982" s="2"/>
    </row>
    <row r="983" ht="14.25" customHeight="1">
      <c r="E983" s="2"/>
      <c r="K983" s="2"/>
      <c r="L983" s="2"/>
      <c r="M983" s="2"/>
      <c r="N983" s="2"/>
      <c r="AD983" s="2"/>
      <c r="AE983" s="2"/>
      <c r="BA983" s="2"/>
      <c r="BD983" s="2"/>
      <c r="BF983" s="2"/>
      <c r="BH983" s="2"/>
      <c r="BI983" s="2"/>
      <c r="BJ983" s="2"/>
    </row>
    <row r="984" ht="14.25" customHeight="1">
      <c r="E984" s="2"/>
      <c r="K984" s="2"/>
      <c r="L984" s="2"/>
      <c r="M984" s="2"/>
      <c r="N984" s="2"/>
      <c r="AD984" s="2"/>
      <c r="AE984" s="2"/>
      <c r="BA984" s="2"/>
      <c r="BD984" s="2"/>
      <c r="BF984" s="2"/>
      <c r="BH984" s="2"/>
      <c r="BI984" s="2"/>
      <c r="BJ984" s="2"/>
    </row>
    <row r="985">
      <c r="E985" s="2"/>
      <c r="K985" s="2"/>
      <c r="L985" s="2"/>
      <c r="M985" s="2"/>
      <c r="AD985" s="2"/>
      <c r="AE985" s="2"/>
      <c r="BD985" s="2"/>
      <c r="BF985" s="2"/>
      <c r="BH985" s="2"/>
      <c r="BI985" s="2"/>
      <c r="BJ985" s="2"/>
    </row>
    <row r="986">
      <c r="E986" s="2"/>
      <c r="K986" s="2"/>
      <c r="L986" s="2"/>
      <c r="M986" s="2"/>
      <c r="AD986" s="2"/>
      <c r="AE986" s="2"/>
      <c r="BD986" s="2"/>
      <c r="BF986" s="2"/>
      <c r="BH986" s="2"/>
      <c r="BI986" s="2"/>
      <c r="BJ986" s="2"/>
    </row>
    <row r="987">
      <c r="E987" s="2"/>
      <c r="K987" s="2"/>
      <c r="L987" s="2"/>
      <c r="M987" s="2"/>
      <c r="AD987" s="2"/>
      <c r="AE987" s="2"/>
      <c r="BD987" s="2"/>
      <c r="BF987" s="2"/>
      <c r="BH987" s="2"/>
      <c r="BI987" s="2"/>
      <c r="BJ987" s="2"/>
    </row>
    <row r="988">
      <c r="E988" s="2"/>
      <c r="K988" s="2"/>
      <c r="L988" s="2"/>
      <c r="M988" s="2"/>
      <c r="AD988" s="2"/>
      <c r="AE988" s="2"/>
      <c r="BD988" s="2"/>
      <c r="BF988" s="2"/>
      <c r="BH988" s="2"/>
      <c r="BI988" s="2"/>
      <c r="BJ988" s="2"/>
    </row>
    <row r="989">
      <c r="E989" s="2"/>
      <c r="K989" s="2"/>
      <c r="L989" s="2"/>
      <c r="M989" s="2"/>
      <c r="AD989" s="2"/>
      <c r="AE989" s="2"/>
      <c r="BD989" s="2"/>
      <c r="BF989" s="2"/>
      <c r="BH989" s="2"/>
      <c r="BI989" s="2"/>
      <c r="BJ989" s="2"/>
    </row>
    <row r="990">
      <c r="E990" s="2"/>
      <c r="K990" s="2"/>
      <c r="L990" s="2"/>
      <c r="M990" s="2"/>
      <c r="AD990" s="2"/>
      <c r="AE990" s="2"/>
      <c r="BD990" s="2"/>
      <c r="BF990" s="2"/>
      <c r="BH990" s="2"/>
      <c r="BI990" s="2"/>
      <c r="BJ990" s="2"/>
    </row>
    <row r="991">
      <c r="E991" s="2"/>
      <c r="K991" s="2"/>
      <c r="L991" s="2"/>
      <c r="M991" s="2"/>
      <c r="AD991" s="2"/>
      <c r="AE991" s="2"/>
      <c r="BD991" s="2"/>
      <c r="BF991" s="2"/>
      <c r="BH991" s="2"/>
      <c r="BI991" s="2"/>
      <c r="BJ991" s="2"/>
    </row>
    <row r="992">
      <c r="E992" s="2"/>
      <c r="K992" s="2"/>
      <c r="L992" s="2"/>
      <c r="M992" s="2"/>
      <c r="AD992" s="2"/>
      <c r="AE992" s="2"/>
      <c r="BD992" s="2"/>
      <c r="BF992" s="2"/>
      <c r="BH992" s="2"/>
      <c r="BI992" s="2"/>
      <c r="BJ992" s="2"/>
    </row>
    <row r="993">
      <c r="E993" s="2"/>
      <c r="K993" s="2"/>
      <c r="L993" s="2"/>
      <c r="M993" s="2"/>
      <c r="AD993" s="2"/>
      <c r="AE993" s="2"/>
      <c r="BD993" s="2"/>
      <c r="BF993" s="2"/>
      <c r="BH993" s="2"/>
      <c r="BI993" s="2"/>
      <c r="BJ993" s="2"/>
    </row>
    <row r="994">
      <c r="E994" s="2"/>
      <c r="K994" s="2"/>
      <c r="L994" s="2"/>
      <c r="M994" s="2"/>
      <c r="AD994" s="2"/>
      <c r="AE994" s="2"/>
      <c r="BD994" s="2"/>
      <c r="BF994" s="2"/>
      <c r="BH994" s="2"/>
      <c r="BI994" s="2"/>
      <c r="BJ994" s="2"/>
    </row>
    <row r="995">
      <c r="E995" s="2"/>
      <c r="K995" s="2"/>
      <c r="L995" s="2"/>
      <c r="M995" s="2"/>
      <c r="AD995" s="2"/>
      <c r="AE995" s="2"/>
      <c r="BD995" s="2"/>
      <c r="BF995" s="2"/>
      <c r="BH995" s="2"/>
      <c r="BI995" s="2"/>
      <c r="BJ995" s="2"/>
    </row>
    <row r="996">
      <c r="E996" s="2"/>
      <c r="K996" s="2"/>
      <c r="L996" s="2"/>
      <c r="M996" s="2"/>
      <c r="AD996" s="2"/>
      <c r="AE996" s="2"/>
      <c r="BD996" s="2"/>
      <c r="BF996" s="2"/>
      <c r="BH996" s="2"/>
      <c r="BI996" s="2"/>
      <c r="BJ996" s="2"/>
    </row>
    <row r="997">
      <c r="E997" s="2"/>
      <c r="K997" s="2"/>
      <c r="L997" s="2"/>
      <c r="M997" s="2"/>
      <c r="AD997" s="2"/>
      <c r="AE997" s="2"/>
      <c r="BD997" s="2"/>
      <c r="BF997" s="2"/>
      <c r="BH997" s="2"/>
      <c r="BI997" s="2"/>
      <c r="BJ997" s="2"/>
    </row>
    <row r="998">
      <c r="E998" s="2"/>
      <c r="K998" s="2"/>
      <c r="L998" s="2"/>
      <c r="M998" s="2"/>
      <c r="AD998" s="2"/>
      <c r="AE998" s="2"/>
      <c r="BD998" s="2"/>
      <c r="BF998" s="2"/>
      <c r="BH998" s="2"/>
      <c r="BI998" s="2"/>
      <c r="BJ998" s="2"/>
    </row>
    <row r="999">
      <c r="E999" s="2"/>
      <c r="K999" s="2"/>
      <c r="L999" s="2"/>
      <c r="M999" s="2"/>
      <c r="AD999" s="2"/>
      <c r="AE999" s="2"/>
      <c r="BD999" s="2"/>
      <c r="BF999" s="2"/>
      <c r="BH999" s="2"/>
      <c r="BI999" s="2"/>
      <c r="BJ999" s="2"/>
    </row>
    <row r="1000">
      <c r="E1000" s="2"/>
      <c r="K1000" s="2"/>
      <c r="L1000" s="2"/>
      <c r="M1000" s="2"/>
      <c r="AD1000" s="2"/>
      <c r="AE1000" s="2"/>
      <c r="BD1000" s="2"/>
      <c r="BF1000" s="2"/>
      <c r="BH1000" s="2"/>
      <c r="BI1000" s="2"/>
      <c r="BJ1000" s="2"/>
    </row>
  </sheetData>
  <mergeCells count="4">
    <mergeCell ref="B3:C3"/>
    <mergeCell ref="H18:J18"/>
    <mergeCell ref="H19:J19"/>
    <mergeCell ref="H20:J20"/>
  </mergeCells>
  <conditionalFormatting sqref="O16:AZ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:F1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:G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:H14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:I1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:J14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:L14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4:M14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4:O14 BB4:BB13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4:P14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4:Q14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4:R14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4:S14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4:T14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4:W14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4:X14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4:AA14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4:AB14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4:AC14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4:AD14 BC4:BE13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4:AG14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I4:BI14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J4:BJ14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K4:BK14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4:U14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4:V14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4:Y14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4:Z14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4:AE14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4:AF14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4:AH14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4:AI14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4:AJ14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4:AK14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4:AL14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4:AO14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4:AP14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4:AS14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4:AT14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4:AU14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4:AV14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4:AM14"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4:AN14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4:AR14"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4:AX14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4:AQ14">
    <cfRule type="colorScale" priority="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4:AW14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4:AY14"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4:AZ14 BG4:BG13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87401575" footer="0.0" header="0.0" left="0.7" right="0.7" top="0.7874015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4.0" ySplit="3.0" topLeftCell="O4" activePane="bottomRight" state="frozen"/>
      <selection activeCell="O1" sqref="O1" pane="topRight"/>
      <selection activeCell="A4" sqref="A4" pane="bottomLeft"/>
      <selection activeCell="O4" sqref="O4" pane="bottomRight"/>
    </sheetView>
  </sheetViews>
  <sheetFormatPr customHeight="1" defaultColWidth="14.43" defaultRowHeight="15.0" outlineLevelCol="1"/>
  <cols>
    <col customWidth="1" min="1" max="1" width="4.29"/>
    <col customWidth="1" min="2" max="2" width="3.43"/>
    <col customWidth="1" min="3" max="3" width="17.43"/>
    <col customWidth="1" min="4" max="4" width="6.43"/>
    <col customWidth="1" min="5" max="5" width="7.71"/>
    <col customWidth="1" min="6" max="7" width="7.14"/>
    <col customWidth="1" min="8" max="10" width="5.0"/>
    <col customWidth="1" min="11" max="11" width="0.71"/>
    <col customWidth="1" min="12" max="12" width="6.29"/>
    <col customWidth="1" hidden="1" min="13" max="13" width="6.29"/>
    <col customWidth="1" min="14" max="14" width="0.71"/>
    <col customWidth="1" min="15" max="52" width="4.43"/>
    <col customWidth="1" min="53" max="53" width="0.86"/>
    <col customWidth="1" min="54" max="55" width="7.29"/>
    <col customWidth="1" min="56" max="56" width="8.0"/>
    <col customWidth="1" min="57" max="57" width="8.43" outlineLevel="1"/>
    <col customWidth="1" min="58" max="58" width="8.29"/>
    <col customWidth="1" min="59" max="59" width="7.29"/>
    <col customWidth="1" min="60" max="60" width="0.86"/>
    <col customWidth="1" min="61" max="63" width="7.29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83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ht="15.0" hidden="1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1"/>
      <c r="O2" s="2" t="s">
        <v>0</v>
      </c>
      <c r="P2" s="2" t="s">
        <v>0</v>
      </c>
      <c r="Q2" s="2" t="s">
        <v>0</v>
      </c>
      <c r="R2" s="2" t="s">
        <v>1</v>
      </c>
      <c r="S2" s="2" t="s">
        <v>1</v>
      </c>
      <c r="T2" s="2" t="s">
        <v>1</v>
      </c>
      <c r="U2" s="2" t="s">
        <v>2</v>
      </c>
      <c r="V2" s="2" t="s">
        <v>2</v>
      </c>
      <c r="W2" s="2" t="s">
        <v>2</v>
      </c>
      <c r="X2" s="2" t="s">
        <v>3</v>
      </c>
      <c r="Y2" s="2" t="s">
        <v>3</v>
      </c>
      <c r="Z2" s="2" t="s">
        <v>3</v>
      </c>
      <c r="AA2" s="2" t="s">
        <v>3</v>
      </c>
      <c r="AB2" s="2" t="s">
        <v>4</v>
      </c>
      <c r="AC2" s="2" t="s">
        <v>4</v>
      </c>
      <c r="AD2" s="2" t="s">
        <v>4</v>
      </c>
      <c r="AE2" s="2" t="s">
        <v>4</v>
      </c>
      <c r="AF2" s="2" t="s">
        <v>4</v>
      </c>
      <c r="AG2" s="2" t="s">
        <v>4</v>
      </c>
      <c r="AH2" s="2" t="s">
        <v>5</v>
      </c>
      <c r="AI2" s="2" t="s">
        <v>5</v>
      </c>
      <c r="AJ2" s="2" t="s">
        <v>5</v>
      </c>
      <c r="AK2" s="2" t="s">
        <v>5</v>
      </c>
      <c r="AL2" s="2" t="s">
        <v>6</v>
      </c>
      <c r="AM2" s="2" t="s">
        <v>6</v>
      </c>
      <c r="AN2" s="2" t="s">
        <v>6</v>
      </c>
      <c r="AO2" s="2" t="s">
        <v>6</v>
      </c>
      <c r="AP2" s="2" t="s">
        <v>7</v>
      </c>
      <c r="AQ2" s="2" t="s">
        <v>7</v>
      </c>
      <c r="AR2" s="2" t="s">
        <v>8</v>
      </c>
      <c r="AS2" s="2" t="s">
        <v>8</v>
      </c>
      <c r="AT2" s="2" t="s">
        <v>8</v>
      </c>
      <c r="AU2" s="2" t="s">
        <v>8</v>
      </c>
      <c r="AV2" s="2" t="s">
        <v>8</v>
      </c>
      <c r="AW2" s="2" t="s">
        <v>9</v>
      </c>
      <c r="AX2" s="2" t="s">
        <v>9</v>
      </c>
      <c r="AY2" s="2" t="s">
        <v>9</v>
      </c>
      <c r="AZ2" s="2" t="s">
        <v>9</v>
      </c>
      <c r="BA2" s="1"/>
      <c r="BB2" s="2"/>
      <c r="BC2" s="2"/>
      <c r="BD2" s="2"/>
      <c r="BE2" s="2"/>
      <c r="BF2" s="2"/>
      <c r="BG2" s="2"/>
      <c r="BH2" s="1"/>
      <c r="BI2" s="1"/>
      <c r="BJ2" s="1"/>
      <c r="BK2" s="2"/>
    </row>
    <row r="3" ht="28.5" customHeight="1">
      <c r="A3" s="3"/>
      <c r="B3" s="4"/>
      <c r="C3" s="5"/>
      <c r="D3" s="6" t="s">
        <v>10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  <c r="J3" s="7" t="s">
        <v>16</v>
      </c>
      <c r="K3" s="3"/>
      <c r="L3" s="8" t="s">
        <v>17</v>
      </c>
      <c r="M3" s="9" t="s">
        <v>18</v>
      </c>
      <c r="N3" s="1"/>
      <c r="O3" s="10" t="s">
        <v>19</v>
      </c>
      <c r="P3" s="11" t="s">
        <v>20</v>
      </c>
      <c r="Q3" s="11" t="s">
        <v>21</v>
      </c>
      <c r="R3" s="11" t="s">
        <v>22</v>
      </c>
      <c r="S3" s="11" t="s">
        <v>23</v>
      </c>
      <c r="T3" s="11" t="s">
        <v>24</v>
      </c>
      <c r="U3" s="11" t="s">
        <v>25</v>
      </c>
      <c r="V3" s="11" t="s">
        <v>26</v>
      </c>
      <c r="W3" s="11" t="s">
        <v>27</v>
      </c>
      <c r="X3" s="11" t="s">
        <v>28</v>
      </c>
      <c r="Y3" s="11" t="s">
        <v>29</v>
      </c>
      <c r="Z3" s="11" t="s">
        <v>30</v>
      </c>
      <c r="AA3" s="11" t="s">
        <v>31</v>
      </c>
      <c r="AB3" s="11" t="s">
        <v>32</v>
      </c>
      <c r="AC3" s="11" t="s">
        <v>33</v>
      </c>
      <c r="AD3" s="11" t="s">
        <v>34</v>
      </c>
      <c r="AE3" s="11" t="s">
        <v>35</v>
      </c>
      <c r="AF3" s="11" t="s">
        <v>36</v>
      </c>
      <c r="AG3" s="11" t="s">
        <v>37</v>
      </c>
      <c r="AH3" s="11" t="s">
        <v>38</v>
      </c>
      <c r="AI3" s="11" t="s">
        <v>39</v>
      </c>
      <c r="AJ3" s="11" t="s">
        <v>40</v>
      </c>
      <c r="AK3" s="11" t="s">
        <v>41</v>
      </c>
      <c r="AL3" s="11" t="s">
        <v>42</v>
      </c>
      <c r="AM3" s="11" t="s">
        <v>43</v>
      </c>
      <c r="AN3" s="11" t="s">
        <v>44</v>
      </c>
      <c r="AO3" s="11" t="s">
        <v>45</v>
      </c>
      <c r="AP3" s="11" t="s">
        <v>46</v>
      </c>
      <c r="AQ3" s="11" t="s">
        <v>47</v>
      </c>
      <c r="AR3" s="11" t="s">
        <v>48</v>
      </c>
      <c r="AS3" s="11" t="s">
        <v>49</v>
      </c>
      <c r="AT3" s="11" t="s">
        <v>50</v>
      </c>
      <c r="AU3" s="11" t="s">
        <v>51</v>
      </c>
      <c r="AV3" s="11" t="s">
        <v>52</v>
      </c>
      <c r="AW3" s="11" t="s">
        <v>53</v>
      </c>
      <c r="AX3" s="11" t="s">
        <v>54</v>
      </c>
      <c r="AY3" s="11" t="s">
        <v>55</v>
      </c>
      <c r="AZ3" s="12" t="s">
        <v>56</v>
      </c>
      <c r="BA3" s="1"/>
      <c r="BB3" s="13" t="s">
        <v>57</v>
      </c>
      <c r="BC3" s="14" t="s">
        <v>58</v>
      </c>
      <c r="BD3" s="14" t="s">
        <v>84</v>
      </c>
      <c r="BE3" s="98" t="s">
        <v>60</v>
      </c>
      <c r="BF3" s="98" t="s">
        <v>61</v>
      </c>
      <c r="BG3" s="18" t="s">
        <v>62</v>
      </c>
      <c r="BH3" s="1"/>
      <c r="BI3" s="13" t="s">
        <v>63</v>
      </c>
      <c r="BJ3" s="17" t="s">
        <v>63</v>
      </c>
      <c r="BK3" s="18" t="s">
        <v>63</v>
      </c>
    </row>
    <row r="4" ht="14.25" customHeight="1">
      <c r="A4" s="2"/>
      <c r="B4" s="36">
        <f t="shared" ref="B4:B14" si="1">_xlfn.RANK.EQ(D4,$D$4:$D$14)</f>
        <v>3</v>
      </c>
      <c r="C4" s="37" t="s">
        <v>64</v>
      </c>
      <c r="D4" s="21">
        <f t="shared" ref="D4:D14" si="2">SUM(O4:AZ4)-E4</f>
        <v>218</v>
      </c>
      <c r="E4" s="21">
        <v>0.0</v>
      </c>
      <c r="F4" s="39">
        <f t="shared" ref="F4:F14" si="3">AVERAGE(O4:AZ4)</f>
        <v>72.66666667</v>
      </c>
      <c r="G4" s="21">
        <f t="shared" ref="G4:G14" si="4">SUM(OFFSET(O4,0,COUNTA(O4:AZ4)-5,1,5):AZ4)</f>
        <v>218</v>
      </c>
      <c r="H4" s="40">
        <f t="shared" ref="H4:H14" si="5">_xlfn.STDEV.P(O4:AZ4)</f>
        <v>7.760297818</v>
      </c>
      <c r="I4" s="21">
        <f t="shared" ref="I4:I14" si="6">MAX(O4:AZ4)</f>
        <v>82</v>
      </c>
      <c r="J4" s="28">
        <f t="shared" ref="J4:J14" si="7">MIN(O4:AZ4)</f>
        <v>63</v>
      </c>
      <c r="K4" s="26"/>
      <c r="L4" s="41">
        <f t="shared" ref="L4:L14" si="8">SUM(O4:AG4)</f>
        <v>218</v>
      </c>
      <c r="M4" s="28">
        <f t="shared" ref="M4:M14" si="9">SUM(AH4:AZ4)</f>
        <v>0</v>
      </c>
      <c r="N4" s="1"/>
      <c r="O4" s="29">
        <v>63.0</v>
      </c>
      <c r="P4" s="30">
        <v>73.0</v>
      </c>
      <c r="Q4" s="30">
        <v>82.0</v>
      </c>
      <c r="R4" s="30"/>
      <c r="S4" s="30"/>
      <c r="T4" s="30"/>
      <c r="U4" s="30"/>
      <c r="V4" s="30"/>
      <c r="W4" s="99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99"/>
      <c r="AP4" s="30"/>
      <c r="AQ4" s="99"/>
      <c r="AR4" s="30"/>
      <c r="AS4" s="30"/>
      <c r="AT4" s="30"/>
      <c r="AU4" s="30"/>
      <c r="AV4" s="30"/>
      <c r="AW4" s="99"/>
      <c r="AX4" s="30"/>
      <c r="AY4" s="99"/>
      <c r="AZ4" s="100"/>
      <c r="BA4" s="1"/>
      <c r="BB4" s="101"/>
      <c r="BC4" s="102"/>
      <c r="BD4" s="102"/>
      <c r="BE4" s="102"/>
      <c r="BF4" s="102"/>
      <c r="BG4" s="103"/>
      <c r="BH4" s="1"/>
      <c r="BI4" s="41" t="s">
        <v>66</v>
      </c>
      <c r="BJ4" s="49">
        <v>2478.0</v>
      </c>
      <c r="BK4" s="28">
        <v>2499.0</v>
      </c>
    </row>
    <row r="5" ht="14.25" customHeight="1">
      <c r="A5" s="2"/>
      <c r="B5" s="19">
        <f t="shared" si="1"/>
        <v>4</v>
      </c>
      <c r="C5" s="20" t="s">
        <v>69</v>
      </c>
      <c r="D5" s="22">
        <f t="shared" si="2"/>
        <v>215</v>
      </c>
      <c r="E5" s="22">
        <v>0.0</v>
      </c>
      <c r="F5" s="23">
        <f t="shared" si="3"/>
        <v>71.66666667</v>
      </c>
      <c r="G5" s="22">
        <f t="shared" si="4"/>
        <v>215</v>
      </c>
      <c r="H5" s="24">
        <f t="shared" si="5"/>
        <v>8.730533902</v>
      </c>
      <c r="I5" s="22">
        <f t="shared" si="6"/>
        <v>84</v>
      </c>
      <c r="J5" s="25">
        <f t="shared" si="7"/>
        <v>65</v>
      </c>
      <c r="K5" s="26"/>
      <c r="L5" s="27">
        <f t="shared" si="8"/>
        <v>215</v>
      </c>
      <c r="M5" s="28">
        <f t="shared" si="9"/>
        <v>0</v>
      </c>
      <c r="N5" s="1"/>
      <c r="O5" s="27">
        <v>66.0</v>
      </c>
      <c r="P5" s="22">
        <v>84.0</v>
      </c>
      <c r="Q5" s="22">
        <v>65.0</v>
      </c>
      <c r="R5" s="22"/>
      <c r="S5" s="22"/>
      <c r="T5" s="22"/>
      <c r="U5" s="22"/>
      <c r="V5" s="22"/>
      <c r="W5" s="65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65"/>
      <c r="AP5" s="22"/>
      <c r="AQ5" s="65"/>
      <c r="AR5" s="22"/>
      <c r="AS5" s="22"/>
      <c r="AT5" s="22"/>
      <c r="AU5" s="22"/>
      <c r="AV5" s="22"/>
      <c r="AW5" s="65"/>
      <c r="AX5" s="22"/>
      <c r="AY5" s="65"/>
      <c r="AZ5" s="104"/>
      <c r="BA5" s="1"/>
      <c r="BB5" s="19"/>
      <c r="BC5" s="20"/>
      <c r="BD5" s="20"/>
      <c r="BE5" s="20"/>
      <c r="BF5" s="20"/>
      <c r="BG5" s="66"/>
      <c r="BH5" s="1"/>
      <c r="BI5" s="27" t="s">
        <v>66</v>
      </c>
      <c r="BJ5" s="35">
        <v>2466.0</v>
      </c>
      <c r="BK5" s="25">
        <v>2367.0</v>
      </c>
    </row>
    <row r="6" ht="14.25" customHeight="1">
      <c r="A6" s="2"/>
      <c r="B6" s="36">
        <f t="shared" si="1"/>
        <v>10</v>
      </c>
      <c r="C6" s="37" t="s">
        <v>71</v>
      </c>
      <c r="D6" s="21">
        <f t="shared" si="2"/>
        <v>175</v>
      </c>
      <c r="E6" s="22">
        <v>0.0</v>
      </c>
      <c r="F6" s="39">
        <f t="shared" si="3"/>
        <v>58.33333333</v>
      </c>
      <c r="G6" s="21">
        <f t="shared" si="4"/>
        <v>175</v>
      </c>
      <c r="H6" s="40">
        <f t="shared" si="5"/>
        <v>14.38363267</v>
      </c>
      <c r="I6" s="21">
        <f t="shared" si="6"/>
        <v>77</v>
      </c>
      <c r="J6" s="28">
        <f t="shared" si="7"/>
        <v>42</v>
      </c>
      <c r="K6" s="26"/>
      <c r="L6" s="41">
        <f t="shared" si="8"/>
        <v>175</v>
      </c>
      <c r="M6" s="28">
        <f t="shared" si="9"/>
        <v>0</v>
      </c>
      <c r="N6" s="1"/>
      <c r="O6" s="41">
        <v>56.0</v>
      </c>
      <c r="P6" s="21">
        <v>42.0</v>
      </c>
      <c r="Q6" s="21">
        <v>77.0</v>
      </c>
      <c r="R6" s="21"/>
      <c r="S6" s="21"/>
      <c r="T6" s="21"/>
      <c r="U6" s="21"/>
      <c r="V6" s="21"/>
      <c r="W6" s="105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105"/>
      <c r="AP6" s="21"/>
      <c r="AQ6" s="105"/>
      <c r="AR6" s="21"/>
      <c r="AS6" s="21"/>
      <c r="AT6" s="21"/>
      <c r="AU6" s="21"/>
      <c r="AV6" s="21"/>
      <c r="AW6" s="105"/>
      <c r="AX6" s="21"/>
      <c r="AY6" s="105"/>
      <c r="AZ6" s="106"/>
      <c r="BA6" s="1"/>
      <c r="BB6" s="36"/>
      <c r="BC6" s="20"/>
      <c r="BD6" s="20"/>
      <c r="BE6" s="37"/>
      <c r="BF6" s="37"/>
      <c r="BG6" s="66"/>
      <c r="BH6" s="1"/>
      <c r="BI6" s="41">
        <v>2131.0</v>
      </c>
      <c r="BJ6" s="49">
        <v>2471.0</v>
      </c>
      <c r="BK6" s="28">
        <v>2365.0</v>
      </c>
    </row>
    <row r="7" ht="14.25" customHeight="1">
      <c r="A7" s="2"/>
      <c r="B7" s="36">
        <f t="shared" si="1"/>
        <v>7</v>
      </c>
      <c r="C7" s="37" t="s">
        <v>72</v>
      </c>
      <c r="D7" s="21">
        <f t="shared" si="2"/>
        <v>207</v>
      </c>
      <c r="E7" s="22">
        <v>0.0</v>
      </c>
      <c r="F7" s="39">
        <f t="shared" si="3"/>
        <v>69</v>
      </c>
      <c r="G7" s="21">
        <f t="shared" si="4"/>
        <v>207</v>
      </c>
      <c r="H7" s="40">
        <f t="shared" si="5"/>
        <v>15.51343504</v>
      </c>
      <c r="I7" s="21">
        <f t="shared" si="6"/>
        <v>90</v>
      </c>
      <c r="J7" s="28">
        <f t="shared" si="7"/>
        <v>53</v>
      </c>
      <c r="K7" s="26"/>
      <c r="L7" s="41">
        <f t="shared" si="8"/>
        <v>207</v>
      </c>
      <c r="M7" s="28">
        <f t="shared" si="9"/>
        <v>0</v>
      </c>
      <c r="N7" s="1"/>
      <c r="O7" s="41">
        <v>53.0</v>
      </c>
      <c r="P7" s="21">
        <v>90.0</v>
      </c>
      <c r="Q7" s="21">
        <v>64.0</v>
      </c>
      <c r="R7" s="21"/>
      <c r="S7" s="21"/>
      <c r="T7" s="21"/>
      <c r="U7" s="21"/>
      <c r="V7" s="21"/>
      <c r="W7" s="105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105"/>
      <c r="AP7" s="21"/>
      <c r="AQ7" s="105"/>
      <c r="AR7" s="21"/>
      <c r="AS7" s="21"/>
      <c r="AT7" s="21"/>
      <c r="AU7" s="21"/>
      <c r="AV7" s="21"/>
      <c r="AW7" s="105"/>
      <c r="AX7" s="21"/>
      <c r="AY7" s="105"/>
      <c r="AZ7" s="106"/>
      <c r="BA7" s="1"/>
      <c r="BB7" s="36"/>
      <c r="BC7" s="20"/>
      <c r="BD7" s="20"/>
      <c r="BE7" s="37"/>
      <c r="BF7" s="37"/>
      <c r="BG7" s="66"/>
      <c r="BH7" s="1"/>
      <c r="BI7" s="41" t="s">
        <v>66</v>
      </c>
      <c r="BJ7" s="49">
        <v>2332.0</v>
      </c>
      <c r="BK7" s="28">
        <v>2352.0</v>
      </c>
    </row>
    <row r="8" ht="14.25" customHeight="1">
      <c r="A8" s="2"/>
      <c r="B8" s="36">
        <f t="shared" si="1"/>
        <v>1</v>
      </c>
      <c r="C8" s="37" t="s">
        <v>76</v>
      </c>
      <c r="D8" s="21">
        <f t="shared" si="2"/>
        <v>250</v>
      </c>
      <c r="E8" s="22">
        <v>0.0</v>
      </c>
      <c r="F8" s="39">
        <f t="shared" si="3"/>
        <v>83.33333333</v>
      </c>
      <c r="G8" s="21">
        <f t="shared" si="4"/>
        <v>250</v>
      </c>
      <c r="H8" s="40">
        <f t="shared" si="5"/>
        <v>13.22455628</v>
      </c>
      <c r="I8" s="21">
        <f t="shared" si="6"/>
        <v>102</v>
      </c>
      <c r="J8" s="28">
        <f t="shared" si="7"/>
        <v>73</v>
      </c>
      <c r="K8" s="26"/>
      <c r="L8" s="41">
        <f t="shared" si="8"/>
        <v>250</v>
      </c>
      <c r="M8" s="28">
        <f t="shared" si="9"/>
        <v>0</v>
      </c>
      <c r="N8" s="1"/>
      <c r="O8" s="41">
        <v>75.0</v>
      </c>
      <c r="P8" s="21">
        <v>102.0</v>
      </c>
      <c r="Q8" s="21">
        <v>73.0</v>
      </c>
      <c r="R8" s="21"/>
      <c r="S8" s="21"/>
      <c r="T8" s="21"/>
      <c r="U8" s="21"/>
      <c r="V8" s="21"/>
      <c r="W8" s="21"/>
      <c r="X8" s="107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107"/>
      <c r="AQ8" s="21"/>
      <c r="AR8" s="21"/>
      <c r="AS8" s="21"/>
      <c r="AT8" s="21"/>
      <c r="AU8" s="21"/>
      <c r="AV8" s="21"/>
      <c r="AW8" s="21"/>
      <c r="AX8" s="21"/>
      <c r="AY8" s="21"/>
      <c r="AZ8" s="28"/>
      <c r="BA8" s="1"/>
      <c r="BB8" s="36"/>
      <c r="BC8" s="37"/>
      <c r="BD8" s="37"/>
      <c r="BE8" s="37"/>
      <c r="BF8" s="37"/>
      <c r="BG8" s="66"/>
      <c r="BH8" s="1"/>
      <c r="BI8" s="41">
        <v>2179.0</v>
      </c>
      <c r="BJ8" s="49">
        <v>2378.0</v>
      </c>
      <c r="BK8" s="28">
        <v>2288.0</v>
      </c>
    </row>
    <row r="9" ht="14.25" customHeight="1">
      <c r="A9" s="2"/>
      <c r="B9" s="36">
        <f t="shared" si="1"/>
        <v>2</v>
      </c>
      <c r="C9" s="37" t="s">
        <v>67</v>
      </c>
      <c r="D9" s="21">
        <f t="shared" si="2"/>
        <v>222</v>
      </c>
      <c r="E9" s="22">
        <v>0.0</v>
      </c>
      <c r="F9" s="39">
        <f t="shared" si="3"/>
        <v>74</v>
      </c>
      <c r="G9" s="21">
        <f t="shared" si="4"/>
        <v>222</v>
      </c>
      <c r="H9" s="40">
        <f t="shared" si="5"/>
        <v>17.20465053</v>
      </c>
      <c r="I9" s="21">
        <f t="shared" si="6"/>
        <v>94</v>
      </c>
      <c r="J9" s="28">
        <f t="shared" si="7"/>
        <v>52</v>
      </c>
      <c r="K9" s="26"/>
      <c r="L9" s="41">
        <f t="shared" si="8"/>
        <v>222</v>
      </c>
      <c r="M9" s="28">
        <f t="shared" si="9"/>
        <v>0</v>
      </c>
      <c r="N9" s="1"/>
      <c r="O9" s="41">
        <v>94.0</v>
      </c>
      <c r="P9" s="21">
        <v>76.0</v>
      </c>
      <c r="Q9" s="21">
        <v>52.0</v>
      </c>
      <c r="R9" s="21"/>
      <c r="S9" s="21"/>
      <c r="T9" s="107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107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8"/>
      <c r="BA9" s="1"/>
      <c r="BB9" s="36"/>
      <c r="BC9" s="20"/>
      <c r="BD9" s="20"/>
      <c r="BE9" s="37"/>
      <c r="BF9" s="37"/>
      <c r="BG9" s="66"/>
      <c r="BH9" s="1"/>
      <c r="BI9" s="41">
        <v>2101.0</v>
      </c>
      <c r="BJ9" s="49">
        <v>2166.0</v>
      </c>
      <c r="BK9" s="28">
        <v>2288.0</v>
      </c>
    </row>
    <row r="10" ht="14.25" customHeight="1">
      <c r="A10" s="2"/>
      <c r="B10" s="36">
        <f t="shared" si="1"/>
        <v>9</v>
      </c>
      <c r="C10" s="37" t="s">
        <v>85</v>
      </c>
      <c r="D10" s="21">
        <f t="shared" si="2"/>
        <v>184</v>
      </c>
      <c r="E10" s="22">
        <v>0.0</v>
      </c>
      <c r="F10" s="39">
        <f t="shared" si="3"/>
        <v>61.33333333</v>
      </c>
      <c r="G10" s="21">
        <f t="shared" si="4"/>
        <v>184</v>
      </c>
      <c r="H10" s="40">
        <f t="shared" si="5"/>
        <v>10.07747764</v>
      </c>
      <c r="I10" s="21">
        <f t="shared" si="6"/>
        <v>75</v>
      </c>
      <c r="J10" s="28">
        <f t="shared" si="7"/>
        <v>51</v>
      </c>
      <c r="K10" s="26"/>
      <c r="L10" s="41">
        <f t="shared" si="8"/>
        <v>184</v>
      </c>
      <c r="M10" s="28">
        <f t="shared" si="9"/>
        <v>0</v>
      </c>
      <c r="N10" s="1"/>
      <c r="O10" s="41">
        <v>51.0</v>
      </c>
      <c r="P10" s="21">
        <v>75.0</v>
      </c>
      <c r="Q10" s="21">
        <v>58.0</v>
      </c>
      <c r="R10" s="21"/>
      <c r="S10" s="21"/>
      <c r="T10" s="21"/>
      <c r="U10" s="21"/>
      <c r="V10" s="21"/>
      <c r="W10" s="21"/>
      <c r="X10" s="107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107"/>
      <c r="AQ10" s="21"/>
      <c r="AR10" s="21"/>
      <c r="AS10" s="21"/>
      <c r="AT10" s="21"/>
      <c r="AU10" s="21"/>
      <c r="AV10" s="21"/>
      <c r="AW10" s="21"/>
      <c r="AX10" s="21"/>
      <c r="AY10" s="21"/>
      <c r="AZ10" s="28"/>
      <c r="BA10" s="1"/>
      <c r="BB10" s="36"/>
      <c r="BC10" s="20"/>
      <c r="BD10" s="20"/>
      <c r="BE10" s="37"/>
      <c r="BF10" s="37"/>
      <c r="BG10" s="66"/>
      <c r="BH10" s="1"/>
      <c r="BI10" s="41" t="s">
        <v>66</v>
      </c>
      <c r="BJ10" s="49">
        <v>2263.0</v>
      </c>
      <c r="BK10" s="28">
        <v>2246.0</v>
      </c>
    </row>
    <row r="11" ht="14.25" customHeight="1">
      <c r="A11" s="2"/>
      <c r="B11" s="19">
        <f t="shared" si="1"/>
        <v>8</v>
      </c>
      <c r="C11" s="20" t="s">
        <v>78</v>
      </c>
      <c r="D11" s="22">
        <f t="shared" si="2"/>
        <v>190</v>
      </c>
      <c r="E11" s="22">
        <v>0.0</v>
      </c>
      <c r="F11" s="23">
        <f t="shared" si="3"/>
        <v>63.33333333</v>
      </c>
      <c r="G11" s="22">
        <f t="shared" si="4"/>
        <v>190</v>
      </c>
      <c r="H11" s="24">
        <f t="shared" si="5"/>
        <v>26.13214283</v>
      </c>
      <c r="I11" s="22">
        <f t="shared" si="6"/>
        <v>100</v>
      </c>
      <c r="J11" s="25">
        <f t="shared" si="7"/>
        <v>41</v>
      </c>
      <c r="K11" s="26"/>
      <c r="L11" s="27">
        <f t="shared" si="8"/>
        <v>190</v>
      </c>
      <c r="M11" s="28">
        <f t="shared" si="9"/>
        <v>0</v>
      </c>
      <c r="N11" s="1"/>
      <c r="O11" s="27">
        <v>49.0</v>
      </c>
      <c r="P11" s="22">
        <v>100.0</v>
      </c>
      <c r="Q11" s="22">
        <v>41.0</v>
      </c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5"/>
      <c r="BA11" s="1"/>
      <c r="BB11" s="19"/>
      <c r="BC11" s="20"/>
      <c r="BD11" s="20"/>
      <c r="BE11" s="20"/>
      <c r="BF11" s="20"/>
      <c r="BG11" s="108"/>
      <c r="BH11" s="1"/>
      <c r="BI11" s="27">
        <v>1798.0</v>
      </c>
      <c r="BJ11" s="35">
        <v>2136.0</v>
      </c>
      <c r="BK11" s="25">
        <v>2225.0</v>
      </c>
    </row>
    <row r="12" ht="14.25" customHeight="1">
      <c r="A12" s="2"/>
      <c r="B12" s="36">
        <f t="shared" si="1"/>
        <v>11</v>
      </c>
      <c r="C12" s="37" t="s">
        <v>77</v>
      </c>
      <c r="D12" s="21">
        <f t="shared" si="2"/>
        <v>136</v>
      </c>
      <c r="E12" s="22">
        <v>0.0</v>
      </c>
      <c r="F12" s="39">
        <f t="shared" si="3"/>
        <v>45.33333333</v>
      </c>
      <c r="G12" s="21">
        <f t="shared" si="4"/>
        <v>136</v>
      </c>
      <c r="H12" s="40">
        <f t="shared" si="5"/>
        <v>11.55662388</v>
      </c>
      <c r="I12" s="21">
        <f t="shared" si="6"/>
        <v>54</v>
      </c>
      <c r="J12" s="28">
        <f t="shared" si="7"/>
        <v>29</v>
      </c>
      <c r="K12" s="26"/>
      <c r="L12" s="41">
        <f t="shared" si="8"/>
        <v>136</v>
      </c>
      <c r="M12" s="28">
        <f t="shared" si="9"/>
        <v>0</v>
      </c>
      <c r="N12" s="1"/>
      <c r="O12" s="41">
        <v>54.0</v>
      </c>
      <c r="P12" s="21">
        <v>53.0</v>
      </c>
      <c r="Q12" s="21">
        <v>29.0</v>
      </c>
      <c r="R12" s="21"/>
      <c r="S12" s="21"/>
      <c r="T12" s="21"/>
      <c r="U12" s="21"/>
      <c r="V12" s="21"/>
      <c r="W12" s="21"/>
      <c r="X12" s="21"/>
      <c r="Y12" s="21"/>
      <c r="Z12" s="21"/>
      <c r="AA12" s="105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105"/>
      <c r="AT12" s="21"/>
      <c r="AU12" s="21"/>
      <c r="AV12" s="21"/>
      <c r="AW12" s="21"/>
      <c r="AX12" s="21"/>
      <c r="AY12" s="21"/>
      <c r="AZ12" s="28"/>
      <c r="BA12" s="1"/>
      <c r="BB12" s="19"/>
      <c r="BC12" s="37"/>
      <c r="BD12" s="37"/>
      <c r="BE12" s="37"/>
      <c r="BF12" s="37"/>
      <c r="BG12" s="66"/>
      <c r="BH12" s="1"/>
      <c r="BI12" s="41" t="s">
        <v>66</v>
      </c>
      <c r="BJ12" s="49">
        <v>2275.0</v>
      </c>
      <c r="BK12" s="28">
        <v>2162.0</v>
      </c>
    </row>
    <row r="13" ht="14.25" customHeight="1">
      <c r="A13" s="2"/>
      <c r="B13" s="36">
        <f t="shared" si="1"/>
        <v>5</v>
      </c>
      <c r="C13" s="37" t="s">
        <v>75</v>
      </c>
      <c r="D13" s="21">
        <f t="shared" si="2"/>
        <v>214</v>
      </c>
      <c r="E13" s="22">
        <v>4.0</v>
      </c>
      <c r="F13" s="39">
        <f t="shared" si="3"/>
        <v>72.66666667</v>
      </c>
      <c r="G13" s="21">
        <f t="shared" si="4"/>
        <v>218</v>
      </c>
      <c r="H13" s="40">
        <f t="shared" si="5"/>
        <v>9.104333522</v>
      </c>
      <c r="I13" s="21">
        <f t="shared" si="6"/>
        <v>81</v>
      </c>
      <c r="J13" s="28">
        <f t="shared" si="7"/>
        <v>60</v>
      </c>
      <c r="K13" s="26"/>
      <c r="L13" s="41">
        <f t="shared" si="8"/>
        <v>218</v>
      </c>
      <c r="M13" s="28">
        <f t="shared" si="9"/>
        <v>0</v>
      </c>
      <c r="N13" s="1"/>
      <c r="O13" s="41">
        <v>60.0</v>
      </c>
      <c r="P13" s="21">
        <v>77.0</v>
      </c>
      <c r="Q13" s="21">
        <v>81.0</v>
      </c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105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8"/>
      <c r="BA13" s="1"/>
      <c r="BB13" s="19"/>
      <c r="BC13" s="37"/>
      <c r="BD13" s="37"/>
      <c r="BE13" s="37"/>
      <c r="BF13" s="37"/>
      <c r="BG13" s="66"/>
      <c r="BH13" s="1"/>
      <c r="BI13" s="41">
        <v>2267.0</v>
      </c>
      <c r="BJ13" s="49">
        <v>2372.0</v>
      </c>
      <c r="BK13" s="28">
        <v>2086.0</v>
      </c>
    </row>
    <row r="14" ht="14.25" customHeight="1">
      <c r="A14" s="2"/>
      <c r="B14" s="51">
        <f t="shared" si="1"/>
        <v>6</v>
      </c>
      <c r="C14" s="52" t="s">
        <v>74</v>
      </c>
      <c r="D14" s="53">
        <f t="shared" si="2"/>
        <v>209</v>
      </c>
      <c r="E14" s="53">
        <v>0.0</v>
      </c>
      <c r="F14" s="54">
        <f t="shared" si="3"/>
        <v>69.66666667</v>
      </c>
      <c r="G14" s="53">
        <f t="shared" si="4"/>
        <v>209</v>
      </c>
      <c r="H14" s="55">
        <f t="shared" si="5"/>
        <v>29.76948475</v>
      </c>
      <c r="I14" s="53">
        <f t="shared" si="6"/>
        <v>109</v>
      </c>
      <c r="J14" s="56">
        <f t="shared" si="7"/>
        <v>37</v>
      </c>
      <c r="K14" s="26"/>
      <c r="L14" s="57">
        <f t="shared" si="8"/>
        <v>209</v>
      </c>
      <c r="M14" s="56">
        <f t="shared" si="9"/>
        <v>0</v>
      </c>
      <c r="N14" s="1"/>
      <c r="O14" s="57">
        <v>37.0</v>
      </c>
      <c r="P14" s="53">
        <v>109.0</v>
      </c>
      <c r="Q14" s="53">
        <v>63.0</v>
      </c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109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109"/>
      <c r="AW14" s="53"/>
      <c r="AX14" s="53"/>
      <c r="AY14" s="53"/>
      <c r="AZ14" s="56"/>
      <c r="BA14" s="1"/>
      <c r="BB14" s="51"/>
      <c r="BC14" s="110"/>
      <c r="BD14" s="110"/>
      <c r="BE14" s="52"/>
      <c r="BF14" s="52"/>
      <c r="BG14" s="111"/>
      <c r="BH14" s="1"/>
      <c r="BI14" s="57" t="s">
        <v>66</v>
      </c>
      <c r="BJ14" s="112" t="s">
        <v>66</v>
      </c>
      <c r="BK14" s="56" t="s">
        <v>66</v>
      </c>
    </row>
    <row r="15" ht="3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</row>
    <row r="16" ht="14.25" customHeight="1">
      <c r="A16" s="67"/>
      <c r="B16" s="68"/>
      <c r="C16" s="69" t="s">
        <v>79</v>
      </c>
      <c r="D16" s="70">
        <f>SUM(O16:AZ16)</f>
        <v>126</v>
      </c>
      <c r="E16" s="71"/>
      <c r="F16" s="72">
        <f>AVERAGE(O16:AZ16)</f>
        <v>63</v>
      </c>
      <c r="G16" s="71">
        <f>SUM(OFFSET(O16,0,COUNTA(O16:AZ16)-5,1,5))</f>
        <v>252</v>
      </c>
      <c r="H16" s="73">
        <f>STDEV(O16:AZ16)</f>
        <v>8.485281374</v>
      </c>
      <c r="I16" s="71">
        <f>MAX(O16:AZ16)</f>
        <v>69</v>
      </c>
      <c r="J16" s="74">
        <f>MIN(O16:AZ16)</f>
        <v>57</v>
      </c>
      <c r="K16" s="2"/>
      <c r="L16" s="75">
        <f>SUM(O16:AD16)</f>
        <v>126</v>
      </c>
      <c r="M16" s="74">
        <f>SUM(AE16:AZ16)</f>
        <v>0</v>
      </c>
      <c r="N16" s="1"/>
      <c r="O16" s="68">
        <v>57.0</v>
      </c>
      <c r="P16" s="69">
        <v>69.0</v>
      </c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  <c r="AR16" s="69"/>
      <c r="AS16" s="69"/>
      <c r="AT16" s="69"/>
      <c r="AU16" s="69"/>
      <c r="AV16" s="69"/>
      <c r="AW16" s="69"/>
      <c r="AX16" s="69"/>
      <c r="AY16" s="69"/>
      <c r="AZ16" s="79"/>
      <c r="BA16" s="1"/>
      <c r="BB16" s="2"/>
      <c r="BC16" s="2"/>
      <c r="BD16" s="2"/>
      <c r="BE16" s="2"/>
      <c r="BF16" s="2"/>
      <c r="BG16" s="2"/>
      <c r="BH16" s="1"/>
      <c r="BI16" s="68" t="s">
        <v>66</v>
      </c>
      <c r="BJ16" s="78">
        <v>2020.0</v>
      </c>
      <c r="BK16" s="79">
        <v>2003.0</v>
      </c>
    </row>
    <row r="17" ht="4.5" customHeight="1">
      <c r="A17" s="2"/>
      <c r="B17" s="2"/>
      <c r="C17" s="2"/>
      <c r="D17" s="2"/>
      <c r="E17" s="2"/>
      <c r="F17" s="80"/>
      <c r="G17" s="2"/>
      <c r="H17" s="81"/>
      <c r="I17" s="2"/>
      <c r="J17" s="2"/>
      <c r="K17" s="2"/>
      <c r="L17" s="2"/>
      <c r="M17" s="2"/>
      <c r="N17" s="1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1"/>
      <c r="BB17" s="2"/>
      <c r="BC17" s="2"/>
      <c r="BD17" s="2"/>
      <c r="BE17" s="2"/>
      <c r="BF17" s="2"/>
      <c r="BG17" s="2"/>
      <c r="BH17" s="1"/>
      <c r="BI17" s="1"/>
      <c r="BJ17" s="1"/>
      <c r="BK17" s="2"/>
    </row>
    <row r="18" ht="14.25" customHeight="1">
      <c r="A18" s="2"/>
      <c r="B18" s="2"/>
      <c r="C18" s="2"/>
      <c r="D18" s="2"/>
      <c r="E18" s="2"/>
      <c r="F18" s="2"/>
      <c r="G18" s="2"/>
      <c r="H18" s="82" t="s">
        <v>80</v>
      </c>
      <c r="I18" s="83"/>
      <c r="J18" s="84"/>
      <c r="K18" s="2"/>
      <c r="L18" s="2"/>
      <c r="M18" s="2"/>
      <c r="N18" s="1"/>
      <c r="O18" s="113">
        <f t="shared" ref="O18:AZ18" si="10">IF(SUM(O4:O14)&gt;0,AVERAGE(O4:O14),"")</f>
        <v>59.81818182</v>
      </c>
      <c r="P18" s="114">
        <f t="shared" si="10"/>
        <v>80.09090909</v>
      </c>
      <c r="Q18" s="114">
        <f t="shared" si="10"/>
        <v>62.27272727</v>
      </c>
      <c r="R18" s="114" t="str">
        <f t="shared" si="10"/>
        <v/>
      </c>
      <c r="S18" s="114" t="str">
        <f t="shared" si="10"/>
        <v/>
      </c>
      <c r="T18" s="114" t="str">
        <f t="shared" si="10"/>
        <v/>
      </c>
      <c r="U18" s="114" t="str">
        <f t="shared" si="10"/>
        <v/>
      </c>
      <c r="V18" s="114" t="str">
        <f t="shared" si="10"/>
        <v/>
      </c>
      <c r="W18" s="114" t="str">
        <f t="shared" si="10"/>
        <v/>
      </c>
      <c r="X18" s="114" t="str">
        <f t="shared" si="10"/>
        <v/>
      </c>
      <c r="Y18" s="114" t="str">
        <f t="shared" si="10"/>
        <v/>
      </c>
      <c r="Z18" s="114" t="str">
        <f t="shared" si="10"/>
        <v/>
      </c>
      <c r="AA18" s="114" t="str">
        <f t="shared" si="10"/>
        <v/>
      </c>
      <c r="AB18" s="114" t="str">
        <f t="shared" si="10"/>
        <v/>
      </c>
      <c r="AC18" s="114" t="str">
        <f t="shared" si="10"/>
        <v/>
      </c>
      <c r="AD18" s="114" t="str">
        <f t="shared" si="10"/>
        <v/>
      </c>
      <c r="AE18" s="114" t="str">
        <f t="shared" si="10"/>
        <v/>
      </c>
      <c r="AF18" s="114" t="str">
        <f t="shared" si="10"/>
        <v/>
      </c>
      <c r="AG18" s="114" t="str">
        <f t="shared" si="10"/>
        <v/>
      </c>
      <c r="AH18" s="114" t="str">
        <f t="shared" si="10"/>
        <v/>
      </c>
      <c r="AI18" s="114" t="str">
        <f t="shared" si="10"/>
        <v/>
      </c>
      <c r="AJ18" s="114" t="str">
        <f t="shared" si="10"/>
        <v/>
      </c>
      <c r="AK18" s="114" t="str">
        <f t="shared" si="10"/>
        <v/>
      </c>
      <c r="AL18" s="114" t="str">
        <f t="shared" si="10"/>
        <v/>
      </c>
      <c r="AM18" s="114" t="str">
        <f t="shared" si="10"/>
        <v/>
      </c>
      <c r="AN18" s="114" t="str">
        <f t="shared" si="10"/>
        <v/>
      </c>
      <c r="AO18" s="114" t="str">
        <f t="shared" si="10"/>
        <v/>
      </c>
      <c r="AP18" s="114" t="str">
        <f t="shared" si="10"/>
        <v/>
      </c>
      <c r="AQ18" s="114" t="str">
        <f t="shared" si="10"/>
        <v/>
      </c>
      <c r="AR18" s="114" t="str">
        <f t="shared" si="10"/>
        <v/>
      </c>
      <c r="AS18" s="114" t="str">
        <f t="shared" si="10"/>
        <v/>
      </c>
      <c r="AT18" s="114" t="str">
        <f t="shared" si="10"/>
        <v/>
      </c>
      <c r="AU18" s="114" t="str">
        <f t="shared" si="10"/>
        <v/>
      </c>
      <c r="AV18" s="114" t="str">
        <f t="shared" si="10"/>
        <v/>
      </c>
      <c r="AW18" s="114" t="str">
        <f t="shared" si="10"/>
        <v/>
      </c>
      <c r="AX18" s="114" t="str">
        <f t="shared" si="10"/>
        <v/>
      </c>
      <c r="AY18" s="86" t="str">
        <f t="shared" si="10"/>
        <v/>
      </c>
      <c r="AZ18" s="115" t="str">
        <f t="shared" si="10"/>
        <v/>
      </c>
      <c r="BA18" s="1"/>
      <c r="BB18" s="2"/>
      <c r="BC18" s="2"/>
      <c r="BD18" s="2"/>
      <c r="BE18" s="2"/>
      <c r="BF18" s="2"/>
      <c r="BG18" s="2"/>
      <c r="BH18" s="1"/>
      <c r="BI18" s="1"/>
      <c r="BJ18" s="1"/>
      <c r="BK18" s="2"/>
    </row>
    <row r="19" ht="14.25" customHeight="1">
      <c r="A19" s="2"/>
      <c r="B19" s="2"/>
      <c r="C19" s="2"/>
      <c r="D19" s="26"/>
      <c r="E19" s="2"/>
      <c r="F19" s="2"/>
      <c r="G19" s="2"/>
      <c r="H19" s="88" t="s">
        <v>81</v>
      </c>
      <c r="I19" s="89"/>
      <c r="J19" s="90"/>
      <c r="K19" s="2"/>
      <c r="L19" s="2"/>
      <c r="M19" s="2"/>
      <c r="N19" s="1"/>
      <c r="O19" s="41">
        <f t="shared" ref="O19:AZ19" si="11">IF(SUM(O4:O14)&gt;0,MAX(O4:O14),"")</f>
        <v>94</v>
      </c>
      <c r="P19" s="21">
        <f t="shared" si="11"/>
        <v>109</v>
      </c>
      <c r="Q19" s="21">
        <f t="shared" si="11"/>
        <v>82</v>
      </c>
      <c r="R19" s="21" t="str">
        <f t="shared" si="11"/>
        <v/>
      </c>
      <c r="S19" s="21" t="str">
        <f t="shared" si="11"/>
        <v/>
      </c>
      <c r="T19" s="37" t="str">
        <f t="shared" si="11"/>
        <v/>
      </c>
      <c r="U19" s="37" t="str">
        <f t="shared" si="11"/>
        <v/>
      </c>
      <c r="V19" s="37" t="str">
        <f t="shared" si="11"/>
        <v/>
      </c>
      <c r="W19" s="37" t="str">
        <f t="shared" si="11"/>
        <v/>
      </c>
      <c r="X19" s="37" t="str">
        <f t="shared" si="11"/>
        <v/>
      </c>
      <c r="Y19" s="37" t="str">
        <f t="shared" si="11"/>
        <v/>
      </c>
      <c r="Z19" s="37" t="str">
        <f t="shared" si="11"/>
        <v/>
      </c>
      <c r="AA19" s="37" t="str">
        <f t="shared" si="11"/>
        <v/>
      </c>
      <c r="AB19" s="37" t="str">
        <f t="shared" si="11"/>
        <v/>
      </c>
      <c r="AC19" s="37" t="str">
        <f t="shared" si="11"/>
        <v/>
      </c>
      <c r="AD19" s="37" t="str">
        <f t="shared" si="11"/>
        <v/>
      </c>
      <c r="AE19" s="37" t="str">
        <f t="shared" si="11"/>
        <v/>
      </c>
      <c r="AF19" s="37" t="str">
        <f t="shared" si="11"/>
        <v/>
      </c>
      <c r="AG19" s="37" t="str">
        <f t="shared" si="11"/>
        <v/>
      </c>
      <c r="AH19" s="37" t="str">
        <f t="shared" si="11"/>
        <v/>
      </c>
      <c r="AI19" s="37" t="str">
        <f t="shared" si="11"/>
        <v/>
      </c>
      <c r="AJ19" s="37" t="str">
        <f t="shared" si="11"/>
        <v/>
      </c>
      <c r="AK19" s="37" t="str">
        <f t="shared" si="11"/>
        <v/>
      </c>
      <c r="AL19" s="37" t="str">
        <f t="shared" si="11"/>
        <v/>
      </c>
      <c r="AM19" s="37" t="str">
        <f t="shared" si="11"/>
        <v/>
      </c>
      <c r="AN19" s="37" t="str">
        <f t="shared" si="11"/>
        <v/>
      </c>
      <c r="AO19" s="37" t="str">
        <f t="shared" si="11"/>
        <v/>
      </c>
      <c r="AP19" s="37" t="str">
        <f t="shared" si="11"/>
        <v/>
      </c>
      <c r="AQ19" s="37" t="str">
        <f t="shared" si="11"/>
        <v/>
      </c>
      <c r="AR19" s="37" t="str">
        <f t="shared" si="11"/>
        <v/>
      </c>
      <c r="AS19" s="37" t="str">
        <f t="shared" si="11"/>
        <v/>
      </c>
      <c r="AT19" s="37" t="str">
        <f t="shared" si="11"/>
        <v/>
      </c>
      <c r="AU19" s="37" t="str">
        <f t="shared" si="11"/>
        <v/>
      </c>
      <c r="AV19" s="37" t="str">
        <f t="shared" si="11"/>
        <v/>
      </c>
      <c r="AW19" s="37" t="str">
        <f t="shared" si="11"/>
        <v/>
      </c>
      <c r="AX19" s="37" t="str">
        <f t="shared" si="11"/>
        <v/>
      </c>
      <c r="AY19" s="37" t="str">
        <f t="shared" si="11"/>
        <v/>
      </c>
      <c r="AZ19" s="66" t="str">
        <f t="shared" si="11"/>
        <v/>
      </c>
      <c r="BA19" s="1"/>
      <c r="BB19" s="2"/>
      <c r="BC19" s="2"/>
      <c r="BD19" s="2"/>
      <c r="BE19" s="2"/>
      <c r="BF19" s="2"/>
      <c r="BG19" s="2"/>
      <c r="BH19" s="1"/>
      <c r="BI19" s="1"/>
      <c r="BJ19" s="1"/>
      <c r="BK19" s="2"/>
    </row>
    <row r="20" ht="14.25" customHeight="1">
      <c r="A20" s="2"/>
      <c r="B20" s="2"/>
      <c r="C20" s="2"/>
      <c r="D20" s="26"/>
      <c r="E20" s="2"/>
      <c r="F20" s="2"/>
      <c r="G20" s="2"/>
      <c r="H20" s="93" t="s">
        <v>82</v>
      </c>
      <c r="I20" s="94"/>
      <c r="J20" s="95"/>
      <c r="K20" s="2"/>
      <c r="L20" s="2"/>
      <c r="M20" s="2"/>
      <c r="N20" s="1"/>
      <c r="O20" s="57">
        <f t="shared" ref="O20:AZ20" si="12">IF(SUM(O4:O14)&gt;0,MIN(O4:O14),"")</f>
        <v>37</v>
      </c>
      <c r="P20" s="53">
        <f t="shared" si="12"/>
        <v>42</v>
      </c>
      <c r="Q20" s="53">
        <f t="shared" si="12"/>
        <v>29</v>
      </c>
      <c r="R20" s="53" t="str">
        <f t="shared" si="12"/>
        <v/>
      </c>
      <c r="S20" s="53" t="str">
        <f t="shared" si="12"/>
        <v/>
      </c>
      <c r="T20" s="52" t="str">
        <f t="shared" si="12"/>
        <v/>
      </c>
      <c r="U20" s="52" t="str">
        <f t="shared" si="12"/>
        <v/>
      </c>
      <c r="V20" s="52" t="str">
        <f t="shared" si="12"/>
        <v/>
      </c>
      <c r="W20" s="52" t="str">
        <f t="shared" si="12"/>
        <v/>
      </c>
      <c r="X20" s="52" t="str">
        <f t="shared" si="12"/>
        <v/>
      </c>
      <c r="Y20" s="52" t="str">
        <f t="shared" si="12"/>
        <v/>
      </c>
      <c r="Z20" s="52" t="str">
        <f t="shared" si="12"/>
        <v/>
      </c>
      <c r="AA20" s="52" t="str">
        <f t="shared" si="12"/>
        <v/>
      </c>
      <c r="AB20" s="52" t="str">
        <f t="shared" si="12"/>
        <v/>
      </c>
      <c r="AC20" s="52" t="str">
        <f t="shared" si="12"/>
        <v/>
      </c>
      <c r="AD20" s="52" t="str">
        <f t="shared" si="12"/>
        <v/>
      </c>
      <c r="AE20" s="52" t="str">
        <f t="shared" si="12"/>
        <v/>
      </c>
      <c r="AF20" s="52" t="str">
        <f t="shared" si="12"/>
        <v/>
      </c>
      <c r="AG20" s="52" t="str">
        <f t="shared" si="12"/>
        <v/>
      </c>
      <c r="AH20" s="52" t="str">
        <f t="shared" si="12"/>
        <v/>
      </c>
      <c r="AI20" s="52" t="str">
        <f t="shared" si="12"/>
        <v/>
      </c>
      <c r="AJ20" s="52" t="str">
        <f t="shared" si="12"/>
        <v/>
      </c>
      <c r="AK20" s="52" t="str">
        <f t="shared" si="12"/>
        <v/>
      </c>
      <c r="AL20" s="52" t="str">
        <f t="shared" si="12"/>
        <v/>
      </c>
      <c r="AM20" s="52" t="str">
        <f t="shared" si="12"/>
        <v/>
      </c>
      <c r="AN20" s="52" t="str">
        <f t="shared" si="12"/>
        <v/>
      </c>
      <c r="AO20" s="52" t="str">
        <f t="shared" si="12"/>
        <v/>
      </c>
      <c r="AP20" s="52" t="str">
        <f t="shared" si="12"/>
        <v/>
      </c>
      <c r="AQ20" s="52" t="str">
        <f t="shared" si="12"/>
        <v/>
      </c>
      <c r="AR20" s="52" t="str">
        <f t="shared" si="12"/>
        <v/>
      </c>
      <c r="AS20" s="52" t="str">
        <f t="shared" si="12"/>
        <v/>
      </c>
      <c r="AT20" s="52" t="str">
        <f t="shared" si="12"/>
        <v/>
      </c>
      <c r="AU20" s="52" t="str">
        <f t="shared" si="12"/>
        <v/>
      </c>
      <c r="AV20" s="52" t="str">
        <f t="shared" si="12"/>
        <v/>
      </c>
      <c r="AW20" s="52" t="str">
        <f t="shared" si="12"/>
        <v/>
      </c>
      <c r="AX20" s="52" t="str">
        <f t="shared" si="12"/>
        <v/>
      </c>
      <c r="AY20" s="52" t="str">
        <f t="shared" si="12"/>
        <v/>
      </c>
      <c r="AZ20" s="111" t="str">
        <f t="shared" si="12"/>
        <v/>
      </c>
      <c r="BA20" s="1"/>
      <c r="BB20" s="2"/>
      <c r="BC20" s="2"/>
      <c r="BD20" s="2"/>
      <c r="BE20" s="2"/>
      <c r="BF20" s="2"/>
      <c r="BG20" s="2"/>
      <c r="BH20" s="1"/>
      <c r="BI20" s="1"/>
      <c r="BJ20" s="1"/>
      <c r="BK20" s="2"/>
    </row>
    <row r="21" ht="14.25" customHeight="1">
      <c r="A21" s="2"/>
      <c r="B21" s="2"/>
      <c r="C21" s="2"/>
      <c r="D21" s="26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</row>
    <row r="22" ht="14.25" customHeight="1">
      <c r="A22" s="2"/>
      <c r="B22" s="2"/>
      <c r="C22" s="2"/>
      <c r="D22" s="26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</row>
    <row r="23" ht="14.25" customHeight="1">
      <c r="A23" s="2"/>
      <c r="B23" s="2"/>
      <c r="C23" s="2"/>
      <c r="D23" s="26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</row>
    <row r="24" ht="14.25" customHeight="1">
      <c r="A24" s="2"/>
      <c r="B24" s="2"/>
      <c r="C24" s="2"/>
      <c r="D24" s="26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</row>
    <row r="25" ht="14.25" customHeight="1">
      <c r="A25" s="2"/>
      <c r="B25" s="2"/>
      <c r="C25" s="2"/>
      <c r="D25" s="26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</row>
    <row r="26" ht="14.25" customHeight="1">
      <c r="A26" s="2"/>
      <c r="B26" s="2"/>
      <c r="C26" s="2"/>
      <c r="D26" s="26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</row>
    <row r="27" ht="14.25" customHeight="1">
      <c r="A27" s="2"/>
      <c r="B27" s="2"/>
      <c r="C27" s="2"/>
      <c r="D27" s="26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</row>
    <row r="28" ht="14.25" customHeight="1">
      <c r="A28" s="2"/>
      <c r="B28" s="2"/>
      <c r="C28" s="2"/>
      <c r="D28" s="26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</row>
    <row r="29" ht="14.25" customHeight="1">
      <c r="A29" s="2"/>
      <c r="B29" s="2"/>
      <c r="C29" s="2"/>
      <c r="D29" s="26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</row>
    <row r="30" ht="14.25" customHeight="1">
      <c r="A30" s="2"/>
      <c r="B30" s="2"/>
      <c r="C30" s="2"/>
      <c r="D30" s="26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</row>
    <row r="31" ht="14.25" customHeight="1">
      <c r="A31" s="2"/>
      <c r="B31" s="2"/>
      <c r="C31" s="2"/>
      <c r="D31" s="26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</row>
    <row r="32" ht="14.25" customHeight="1">
      <c r="A32" s="2"/>
      <c r="B32" s="2"/>
      <c r="C32" s="2"/>
      <c r="D32" s="26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</row>
    <row r="33" ht="14.25" customHeight="1">
      <c r="A33" s="2"/>
      <c r="B33" s="2"/>
      <c r="C33" s="2"/>
      <c r="D33" s="26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</row>
    <row r="34" ht="14.25" customHeight="1">
      <c r="A34" s="2"/>
      <c r="B34" s="2"/>
      <c r="C34" s="2"/>
      <c r="D34" s="26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</row>
    <row r="35" ht="14.25" customHeight="1">
      <c r="A35" s="2"/>
      <c r="B35" s="2"/>
      <c r="C35" s="2"/>
      <c r="D35" s="26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</row>
    <row r="36" ht="14.25" customHeight="1">
      <c r="A36" s="2"/>
      <c r="B36" s="2"/>
      <c r="C36" s="2"/>
      <c r="D36" s="26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</row>
    <row r="37" ht="14.25" customHeight="1">
      <c r="A37" s="2"/>
      <c r="B37" s="2"/>
      <c r="C37" s="2"/>
      <c r="D37" s="26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</row>
    <row r="38" ht="14.25" customHeight="1">
      <c r="A38" s="2"/>
      <c r="B38" s="2"/>
      <c r="C38" s="2"/>
      <c r="D38" s="26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</row>
    <row r="39" ht="14.25" customHeight="1">
      <c r="A39" s="2"/>
      <c r="B39" s="2"/>
      <c r="C39" s="2"/>
      <c r="D39" s="26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</row>
    <row r="40" ht="14.25" customHeight="1">
      <c r="A40" s="2"/>
      <c r="B40" s="2"/>
      <c r="C40" s="2"/>
      <c r="D40" s="26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</row>
    <row r="41" ht="14.25" customHeight="1">
      <c r="A41" s="2"/>
      <c r="B41" s="2"/>
      <c r="C41" s="2"/>
      <c r="D41" s="26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</row>
    <row r="42" ht="14.25" customHeight="1">
      <c r="A42" s="2"/>
      <c r="B42" s="2"/>
      <c r="C42" s="2"/>
      <c r="D42" s="26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</row>
    <row r="43" ht="14.25" customHeight="1">
      <c r="A43" s="2"/>
      <c r="B43" s="2"/>
      <c r="C43" s="2"/>
      <c r="D43" s="26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</row>
    <row r="44" ht="14.25" customHeight="1">
      <c r="A44" s="2"/>
      <c r="B44" s="2"/>
      <c r="C44" s="2"/>
      <c r="D44" s="26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</row>
    <row r="45" ht="14.25" customHeight="1">
      <c r="A45" s="2"/>
      <c r="B45" s="2"/>
      <c r="C45" s="2"/>
      <c r="D45" s="26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</row>
    <row r="46" ht="14.25" customHeight="1">
      <c r="A46" s="2"/>
      <c r="B46" s="2"/>
      <c r="C46" s="2"/>
      <c r="D46" s="26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</row>
  </sheetData>
  <mergeCells count="4">
    <mergeCell ref="B3:C3"/>
    <mergeCell ref="H18:J18"/>
    <mergeCell ref="H19:J19"/>
    <mergeCell ref="H20:J20"/>
  </mergeCells>
  <conditionalFormatting sqref="O16:AZ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:F1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:G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:H14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:I1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:J14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:L14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4:M14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4:O14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4:P14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4:Q14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4:R14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4:S14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4:T14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4:W14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4:X14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4:AA14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4:AB14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4:AC14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4:AD14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4:AG14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I4:BI14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J4:BJ14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K4:BK14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4:U14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4:V14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4:Y14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4:Z14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4:AE14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4:AF14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4:AH14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4:AI14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4:AJ14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4:AK14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4:AL14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4:AO14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4:AP14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4:AS14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4:AT14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4:AU14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4:AV14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4:AM14"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4:AN14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4:AR14"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4:AX14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4:AQ14">
    <cfRule type="colorScale" priority="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4:AW14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4:AY14"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4:AZ14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87401575" footer="0.0" header="0.0" left="0.7" right="0.7" top="0.787401575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3.0"/>
    <col customWidth="1" min="3" max="3" width="3.86"/>
    <col customWidth="1" min="4" max="4" width="17.29"/>
    <col customWidth="1" min="5" max="5" width="6.29"/>
    <col customWidth="1" hidden="1" min="6" max="6" width="3.0"/>
    <col customWidth="1" min="7" max="7" width="8.29"/>
    <col customWidth="1" min="8" max="8" width="4.57"/>
    <col customWidth="1" min="9" max="9" width="3.0"/>
    <col customWidth="1" min="10" max="10" width="3.86"/>
    <col customWidth="1" min="11" max="11" width="16.29"/>
    <col customWidth="1" min="12" max="12" width="6.43"/>
    <col customWidth="1" hidden="1" min="13" max="13" width="2.71"/>
    <col customWidth="1" min="14" max="14" width="10.29"/>
    <col customWidth="1" min="15" max="15" width="7.57"/>
    <col customWidth="1" min="16" max="16" width="5.29"/>
    <col customWidth="1" min="17" max="17" width="10.29"/>
    <col customWidth="1" min="18" max="18" width="17.57"/>
    <col customWidth="1" min="19" max="19" width="4.0"/>
    <col customWidth="1" min="20" max="20" width="1.0"/>
    <col customWidth="1" min="21" max="21" width="17.71"/>
    <col customWidth="1" min="22" max="22" width="4.0"/>
    <col customWidth="1" min="23" max="23" width="1.0"/>
    <col customWidth="1" min="24" max="24" width="17.71"/>
    <col customWidth="1" min="25" max="25" width="4.0"/>
  </cols>
  <sheetData>
    <row r="1" ht="14.25" customHeight="1">
      <c r="O1" s="2"/>
    </row>
    <row r="2" ht="14.25" customHeight="1">
      <c r="A2" s="116"/>
      <c r="B2" s="117" t="s">
        <v>86</v>
      </c>
      <c r="F2" s="116"/>
      <c r="G2" s="116"/>
      <c r="H2" s="116"/>
      <c r="I2" s="117" t="s">
        <v>87</v>
      </c>
      <c r="M2" s="116"/>
      <c r="N2" s="116"/>
      <c r="O2" s="116"/>
      <c r="P2" s="116"/>
      <c r="Q2" s="117" t="s">
        <v>88</v>
      </c>
    </row>
    <row r="3" ht="14.25" customHeight="1">
      <c r="B3" s="2">
        <f t="shared" ref="B3:B18" si="1">_xlfn.RANK.EQ(C3,$C$3:$C$27)</f>
        <v>1</v>
      </c>
      <c r="C3" s="118">
        <v>109.0</v>
      </c>
      <c r="D3" s="118" t="s">
        <v>74</v>
      </c>
      <c r="E3" s="118" t="s">
        <v>20</v>
      </c>
      <c r="F3" s="26">
        <f>LARGE(GW!$O$4:$AZ$14,Stats!B3)-C3</f>
        <v>31</v>
      </c>
      <c r="G3" s="116"/>
      <c r="I3" s="2">
        <f t="shared" ref="I3:I19" si="2">_xlfn.RANK.EQ(J3,$J$3:$J$27,1)</f>
        <v>1</v>
      </c>
      <c r="J3" s="118">
        <v>14.0</v>
      </c>
      <c r="K3" s="118" t="s">
        <v>76</v>
      </c>
      <c r="L3" s="118" t="s">
        <v>26</v>
      </c>
      <c r="M3" s="26">
        <f>SMALL(GW!$O$5:$AZ$14,Stats!I3)-J3</f>
        <v>0</v>
      </c>
      <c r="N3" s="116"/>
      <c r="O3" s="116"/>
      <c r="P3" s="119" t="s">
        <v>89</v>
      </c>
      <c r="Q3" s="120"/>
      <c r="R3" s="121">
        <v>1.0</v>
      </c>
      <c r="S3" s="122"/>
      <c r="T3" s="123"/>
      <c r="U3" s="124">
        <v>2.0</v>
      </c>
      <c r="V3" s="122"/>
      <c r="W3" s="123"/>
      <c r="X3" s="125">
        <v>3.0</v>
      </c>
      <c r="Y3" s="122"/>
    </row>
    <row r="4" ht="14.25" customHeight="1">
      <c r="B4" s="2">
        <f t="shared" si="1"/>
        <v>2</v>
      </c>
      <c r="C4" s="118">
        <v>106.0</v>
      </c>
      <c r="D4" s="118" t="s">
        <v>67</v>
      </c>
      <c r="E4" s="118" t="s">
        <v>24</v>
      </c>
      <c r="F4" s="26">
        <f>LARGE(GW!$O$4:$AZ$14,Stats!B4)-C4</f>
        <v>23</v>
      </c>
      <c r="G4" s="116"/>
      <c r="I4" s="2">
        <f t="shared" si="2"/>
        <v>2</v>
      </c>
      <c r="J4" s="118">
        <v>25.0</v>
      </c>
      <c r="K4" s="118" t="s">
        <v>74</v>
      </c>
      <c r="L4" s="118" t="s">
        <v>26</v>
      </c>
      <c r="M4" s="26">
        <f>SMALL(GW!$O$5:$AZ$14,Stats!I4)-J4</f>
        <v>0</v>
      </c>
      <c r="N4" s="116"/>
      <c r="O4" s="116"/>
      <c r="P4" s="126">
        <f>COUNTIF(GW!$2:$2,Stats!Q4)</f>
        <v>3</v>
      </c>
      <c r="Q4" s="127" t="s">
        <v>0</v>
      </c>
      <c r="R4" s="2" t="str">
        <f>VLOOKUP(R$3,'Pomocný'!$C$16:$M$26,11,FALSE)</f>
        <v>Martin Šípek</v>
      </c>
      <c r="S4" s="2">
        <f>VLOOKUP(R4,'Pomocný'!$B:$L,2,FALSE)</f>
        <v>250</v>
      </c>
      <c r="T4" s="2"/>
      <c r="U4" s="2" t="s">
        <v>67</v>
      </c>
      <c r="V4" s="2">
        <f>VLOOKUP(U4,'Pomocný'!$B:$L,2,FALSE)</f>
        <v>222</v>
      </c>
      <c r="W4" s="2"/>
      <c r="X4" s="2" t="s">
        <v>75</v>
      </c>
      <c r="Y4" s="2">
        <f>VLOOKUP(X4,'Pomocný'!$B:$L,2,FALSE)</f>
        <v>222</v>
      </c>
    </row>
    <row r="5" ht="14.25" customHeight="1">
      <c r="B5" s="2">
        <f t="shared" si="1"/>
        <v>3</v>
      </c>
      <c r="C5" s="118">
        <v>102.0</v>
      </c>
      <c r="D5" s="118" t="s">
        <v>76</v>
      </c>
      <c r="E5" s="118" t="s">
        <v>20</v>
      </c>
      <c r="F5" s="26">
        <f>LARGE(GW!$O$4:$AZ$14,Stats!B5)-C5</f>
        <v>20</v>
      </c>
      <c r="G5" s="116"/>
      <c r="H5" s="2"/>
      <c r="I5" s="2">
        <f t="shared" si="2"/>
        <v>2</v>
      </c>
      <c r="J5" s="118">
        <v>25.0</v>
      </c>
      <c r="K5" s="118" t="s">
        <v>77</v>
      </c>
      <c r="L5" s="118" t="s">
        <v>28</v>
      </c>
      <c r="M5" s="26">
        <f>SMALL(GW!$O$5:$AZ$14,Stats!I5)-J5</f>
        <v>0</v>
      </c>
      <c r="N5" s="116"/>
      <c r="O5" s="116"/>
      <c r="P5" s="2">
        <f>COUNTIF(GW!$2:$2,Stats!Q5)</f>
        <v>3</v>
      </c>
      <c r="Q5" s="127" t="s">
        <v>1</v>
      </c>
      <c r="R5" s="2" t="str">
        <f>VLOOKUP(R$3,'Pomocný'!$D16:$M$26,10,FALSE)</f>
        <v>Miroslav Paňák</v>
      </c>
      <c r="S5" s="2">
        <f>VLOOKUP(R5,'Pomocný'!$B:$L,3,FALSE)</f>
        <v>204</v>
      </c>
      <c r="T5" s="2"/>
      <c r="U5" s="2" t="str">
        <f>VLOOKUP(U$3,'Pomocný'!$D16:$M$26,10,FALSE)</f>
        <v>Tomáš Čedík</v>
      </c>
      <c r="V5" s="2">
        <f>VLOOKUP(U5,'Pomocný'!$B:$L,3,FALSE)</f>
        <v>202</v>
      </c>
      <c r="W5" s="2"/>
      <c r="X5" s="2" t="str">
        <f>VLOOKUP(X$3,'Pomocný'!$D16:$M$26,10,FALSE)</f>
        <v>Martin Vácha</v>
      </c>
      <c r="Y5" s="2">
        <f>VLOOKUP(X5,'Pomocný'!$B:$L,3,FALSE)</f>
        <v>191</v>
      </c>
    </row>
    <row r="6" ht="14.25" customHeight="1">
      <c r="B6" s="2">
        <f t="shared" si="1"/>
        <v>3</v>
      </c>
      <c r="C6" s="118">
        <v>102.0</v>
      </c>
      <c r="D6" s="118" t="s">
        <v>78</v>
      </c>
      <c r="E6" s="118" t="s">
        <v>24</v>
      </c>
      <c r="F6" s="26">
        <f>LARGE(GW!$O$4:$AZ$14,Stats!B6)-C6</f>
        <v>20</v>
      </c>
      <c r="G6" s="116"/>
      <c r="H6" s="2"/>
      <c r="I6" s="2">
        <f t="shared" si="2"/>
        <v>2</v>
      </c>
      <c r="J6" s="118">
        <v>25.0</v>
      </c>
      <c r="K6" s="118" t="s">
        <v>76</v>
      </c>
      <c r="L6" s="118" t="s">
        <v>30</v>
      </c>
      <c r="M6" s="26">
        <f>SMALL(GW!$O$5:$AZ$14,Stats!I6)-J6</f>
        <v>0</v>
      </c>
      <c r="N6" s="116"/>
      <c r="O6" s="116"/>
      <c r="P6" s="2">
        <f>COUNTIF(GW!$2:$2,Stats!Q6)</f>
        <v>3</v>
      </c>
      <c r="Q6" s="127" t="s">
        <v>2</v>
      </c>
      <c r="R6" s="128" t="str">
        <f>VLOOKUP(R$3,'Pomocný'!$E16:$M$26,9,FALSE)</f>
        <v>Milan Pádivý</v>
      </c>
      <c r="S6" s="128">
        <f>VLOOKUP(R6,'Pomocný'!$B:$L,4,FALSE)</f>
        <v>178</v>
      </c>
      <c r="T6" s="128"/>
      <c r="U6" s="128" t="str">
        <f>VLOOKUP(U$3,'Pomocný'!$E16:$M$26,9,FALSE)</f>
        <v>Tomáš Kreps</v>
      </c>
      <c r="V6" s="128">
        <f>VLOOKUP(U6,'Pomocný'!$B:$L,4,FALSE)</f>
        <v>165</v>
      </c>
      <c r="W6" s="128"/>
      <c r="X6" s="128" t="str">
        <f>VLOOKUP(X$3,'Pomocný'!$E16:$M$26,9,FALSE)</f>
        <v>Miroslav Paňák</v>
      </c>
      <c r="Y6" s="128">
        <f>VLOOKUP(X6,'Pomocný'!$B:$L,4,FALSE)</f>
        <v>163</v>
      </c>
    </row>
    <row r="7" ht="14.25" customHeight="1">
      <c r="B7" s="2">
        <f t="shared" si="1"/>
        <v>5</v>
      </c>
      <c r="C7" s="118">
        <v>100.0</v>
      </c>
      <c r="D7" s="118" t="s">
        <v>78</v>
      </c>
      <c r="E7" s="118" t="s">
        <v>20</v>
      </c>
      <c r="F7" s="26">
        <f>LARGE(GW!$O$4:$AZ$14,Stats!B7)-C7</f>
        <v>18</v>
      </c>
      <c r="G7" s="116"/>
      <c r="H7" s="2"/>
      <c r="I7" s="2">
        <f t="shared" si="2"/>
        <v>5</v>
      </c>
      <c r="J7" s="118">
        <v>26.0</v>
      </c>
      <c r="K7" s="118" t="s">
        <v>67</v>
      </c>
      <c r="L7" s="118" t="s">
        <v>22</v>
      </c>
      <c r="M7" s="26">
        <f>SMALL(GW!$O$5:$AZ$14,Stats!I7)-J7</f>
        <v>-1</v>
      </c>
      <c r="N7" s="116"/>
      <c r="O7" s="116"/>
      <c r="P7" s="2">
        <f>COUNTIF(GW!$2:$2,Stats!Q7)</f>
        <v>4</v>
      </c>
      <c r="Q7" s="127" t="s">
        <v>3</v>
      </c>
      <c r="R7" s="128" t="str">
        <f>VLOOKUP(R$3,'Pomocný'!F$16:$M$26,8,FALSE)</f>
        <v>Milan Pádivý</v>
      </c>
      <c r="S7" s="128">
        <f>VLOOKUP(R7,'Pomocný'!$B:$L,5,FALSE)</f>
        <v>256</v>
      </c>
      <c r="T7" s="128"/>
      <c r="U7" s="128" t="s">
        <v>64</v>
      </c>
      <c r="V7" s="128">
        <f>VLOOKUP(U7,'Pomocný'!$B:$L,5,FALSE)</f>
        <v>246</v>
      </c>
      <c r="W7" s="128"/>
      <c r="X7" s="128" t="s">
        <v>75</v>
      </c>
      <c r="Y7" s="128">
        <f>VLOOKUP(X7,'Pomocný'!$B:$L,5,FALSE)</f>
        <v>205</v>
      </c>
    </row>
    <row r="8" ht="14.25" customHeight="1">
      <c r="B8" s="2">
        <f t="shared" si="1"/>
        <v>6</v>
      </c>
      <c r="C8" s="118">
        <v>94.0</v>
      </c>
      <c r="D8" s="118" t="s">
        <v>67</v>
      </c>
      <c r="E8" s="118" t="s">
        <v>19</v>
      </c>
      <c r="F8" s="26">
        <f>LARGE(GW!$O$4:$AZ$14,Stats!B8)-C8</f>
        <v>16</v>
      </c>
      <c r="H8" s="2"/>
      <c r="I8" s="2">
        <f t="shared" si="2"/>
        <v>5</v>
      </c>
      <c r="J8" s="118">
        <v>26.0</v>
      </c>
      <c r="K8" s="118" t="s">
        <v>78</v>
      </c>
      <c r="L8" s="118" t="s">
        <v>28</v>
      </c>
      <c r="M8" s="26">
        <f>SMALL(GW!$O$5:$AZ$14,Stats!I8)-J8</f>
        <v>-1</v>
      </c>
      <c r="N8" s="116"/>
      <c r="O8" s="116"/>
      <c r="P8" s="2">
        <f>COUNTIF(GW!$2:$2,Stats!Q8)</f>
        <v>6</v>
      </c>
      <c r="Q8" s="127" t="s">
        <v>4</v>
      </c>
      <c r="R8" s="128" t="str">
        <f>VLOOKUP(R$3,'Pomocný'!G$16:$M$26,7,FALSE)</f>
        <v>Tomáš Kreps</v>
      </c>
      <c r="S8" s="128">
        <f>VLOOKUP(R8,'Pomocný'!$B:$L,6,FALSE)</f>
        <v>391</v>
      </c>
      <c r="T8" s="128"/>
      <c r="U8" s="128" t="s">
        <v>67</v>
      </c>
      <c r="V8" s="128">
        <f>VLOOKUP(U8,'Pomocný'!$B:$L,6,FALSE)</f>
        <v>326</v>
      </c>
      <c r="W8" s="128"/>
      <c r="X8" s="128" t="s">
        <v>72</v>
      </c>
      <c r="Y8" s="128">
        <f>VLOOKUP(X8,'Pomocný'!$B:$L,6,FALSE)</f>
        <v>345</v>
      </c>
    </row>
    <row r="9" ht="14.25" customHeight="1">
      <c r="B9" s="2">
        <f t="shared" si="1"/>
        <v>7</v>
      </c>
      <c r="C9" s="118">
        <v>91.0</v>
      </c>
      <c r="D9" s="118" t="s">
        <v>76</v>
      </c>
      <c r="E9" s="118" t="s">
        <v>31</v>
      </c>
      <c r="F9" s="26">
        <f>LARGE(GW!$O$4:$AZ$14,Stats!B9)-C9</f>
        <v>18</v>
      </c>
      <c r="G9" s="2"/>
      <c r="H9" s="2"/>
      <c r="I9" s="2">
        <f t="shared" si="2"/>
        <v>7</v>
      </c>
      <c r="J9" s="118">
        <v>27.0</v>
      </c>
      <c r="K9" s="118" t="s">
        <v>77</v>
      </c>
      <c r="L9" s="118" t="s">
        <v>29</v>
      </c>
      <c r="M9" s="26">
        <f>SMALL(GW!$O$5:$AZ$14,Stats!I9)-J9</f>
        <v>-2</v>
      </c>
      <c r="N9" s="116"/>
      <c r="O9" s="116"/>
      <c r="P9" s="2">
        <f>COUNTIF(GW!$2:$2,Stats!Q9)</f>
        <v>4</v>
      </c>
      <c r="Q9" s="127" t="s">
        <v>5</v>
      </c>
      <c r="R9" s="128" t="str">
        <f>VLOOKUP(R$3,'Pomocný'!H$16:$M$26,6,FALSE)</f>
        <v>Milan Pádivý</v>
      </c>
      <c r="S9" s="128">
        <f>VLOOKUP(R9,'Pomocný'!$B:$L,7,FALSE)</f>
        <v>266</v>
      </c>
      <c r="T9" s="128"/>
      <c r="U9" s="128" t="str">
        <f>VLOOKUP(U$3,'Pomocný'!H$16:$M$26,6,FALSE)</f>
        <v>Milan Procházka</v>
      </c>
      <c r="V9" s="128">
        <f>VLOOKUP(U9,'Pomocný'!$B:$L,7,FALSE)</f>
        <v>252</v>
      </c>
      <c r="W9" s="128"/>
      <c r="X9" s="128" t="str">
        <f>VLOOKUP(X$3,'Pomocný'!H$16:$M$26,6,FALSE)</f>
        <v>Martin Vácha</v>
      </c>
      <c r="Y9" s="128">
        <f>VLOOKUP(X9,'Pomocný'!$B:$L,7,FALSE)</f>
        <v>251</v>
      </c>
    </row>
    <row r="10" ht="14.25" customHeight="1">
      <c r="B10" s="2">
        <f t="shared" si="1"/>
        <v>8</v>
      </c>
      <c r="C10" s="118">
        <v>90.0</v>
      </c>
      <c r="D10" s="118" t="s">
        <v>72</v>
      </c>
      <c r="E10" s="118" t="s">
        <v>20</v>
      </c>
      <c r="F10" s="26">
        <f>LARGE(GW!$O$4:$AZ$14,Stats!B10)-C10</f>
        <v>16</v>
      </c>
      <c r="G10" s="2"/>
      <c r="H10" s="2"/>
      <c r="I10" s="2">
        <f t="shared" si="2"/>
        <v>8</v>
      </c>
      <c r="J10" s="118">
        <v>28.0</v>
      </c>
      <c r="K10" s="118" t="s">
        <v>71</v>
      </c>
      <c r="L10" s="118" t="s">
        <v>26</v>
      </c>
      <c r="M10" s="26">
        <f>SMALL(GW!$O$5:$AZ$14,Stats!I10)-J10</f>
        <v>-2</v>
      </c>
      <c r="N10" s="116"/>
      <c r="O10" s="116"/>
      <c r="P10" s="2">
        <f>COUNTIF(GW!$2:$2,Stats!Q10)</f>
        <v>4</v>
      </c>
      <c r="Q10" s="127" t="s">
        <v>6</v>
      </c>
      <c r="R10" s="128" t="str">
        <f>VLOOKUP(R$3,'Pomocný'!I$16:$M$26,5,FALSE)</f>
        <v>Martin Šípek</v>
      </c>
      <c r="S10" s="128">
        <f>VLOOKUP(R10,'Pomocný'!$B:$L,8,FALSE)</f>
        <v>371</v>
      </c>
      <c r="T10" s="128"/>
      <c r="U10" s="2" t="str">
        <f>VLOOKUP(U$3,'Pomocný'!$D21:$M$26,10,FALSE)</f>
        <v>Tomáš Čedík</v>
      </c>
      <c r="V10" s="128">
        <f>VLOOKUP(U10,'Pomocný'!$B:$L,8,FALSE)</f>
        <v>354</v>
      </c>
      <c r="W10" s="128"/>
      <c r="X10" s="128" t="s">
        <v>64</v>
      </c>
      <c r="Y10" s="128">
        <f>VLOOKUP(X10,'Pomocný'!$B:$L,8,FALSE)</f>
        <v>354</v>
      </c>
    </row>
    <row r="11" ht="14.25" customHeight="1">
      <c r="B11" s="2">
        <f t="shared" si="1"/>
        <v>9</v>
      </c>
      <c r="C11" s="118">
        <v>86.0</v>
      </c>
      <c r="D11" s="118" t="s">
        <v>74</v>
      </c>
      <c r="E11" s="118" t="s">
        <v>32</v>
      </c>
      <c r="F11" s="26">
        <f>LARGE(GW!$O$4:$AZ$14,Stats!B11)-C11</f>
        <v>20</v>
      </c>
      <c r="G11" s="2"/>
      <c r="H11" s="2"/>
      <c r="I11" s="2">
        <f t="shared" si="2"/>
        <v>9</v>
      </c>
      <c r="J11" s="118">
        <v>29.0</v>
      </c>
      <c r="K11" s="118" t="s">
        <v>77</v>
      </c>
      <c r="L11" s="118" t="s">
        <v>21</v>
      </c>
      <c r="M11" s="26">
        <f>SMALL(GW!$O$5:$AZ$14,Stats!I11)-J11</f>
        <v>-3</v>
      </c>
      <c r="N11" s="116"/>
      <c r="O11" s="116"/>
      <c r="P11" s="2">
        <f>COUNTIF(GW!$2:$2,Stats!Q11)</f>
        <v>2</v>
      </c>
      <c r="Q11" s="127" t="s">
        <v>7</v>
      </c>
      <c r="R11" s="128" t="str">
        <f>VLOOKUP(R$3,'Pomocný'!J$16:$M$26,4,FALSE)</f>
        <v>Martin Šípek</v>
      </c>
      <c r="S11" s="128">
        <f>VLOOKUP(R11,'Pomocný'!$B:$L,9,FALSE)</f>
        <v>150</v>
      </c>
      <c r="T11" s="128"/>
      <c r="U11" s="128" t="str">
        <f>VLOOKUP(U$3,'Pomocný'!J$16:$M$26,4,FALSE)</f>
        <v>Tomáš Čedík</v>
      </c>
      <c r="V11" s="128">
        <f>VLOOKUP(U11,'Pomocný'!$B:$L,9,FALSE)</f>
        <v>145</v>
      </c>
      <c r="W11" s="128"/>
      <c r="X11" s="128" t="str">
        <f>VLOOKUP(X$3,'Pomocný'!J$16:$M$26,4,FALSE)</f>
        <v>Miroslav Pádivý</v>
      </c>
      <c r="Y11" s="128">
        <f>VLOOKUP(X11,'Pomocný'!$B:$L,9,FALSE)</f>
        <v>141</v>
      </c>
    </row>
    <row r="12" ht="14.25" customHeight="1">
      <c r="B12" s="2">
        <f t="shared" si="1"/>
        <v>10</v>
      </c>
      <c r="C12" s="118">
        <v>85.0</v>
      </c>
      <c r="D12" s="118" t="s">
        <v>75</v>
      </c>
      <c r="E12" s="118" t="s">
        <v>21</v>
      </c>
      <c r="F12" s="26">
        <f>LARGE(GW!$O$4:$AZ$14,Stats!B12)-C12</f>
        <v>21</v>
      </c>
      <c r="G12" s="2"/>
      <c r="H12" s="2"/>
      <c r="I12" s="2">
        <f t="shared" si="2"/>
        <v>9</v>
      </c>
      <c r="J12" s="118">
        <v>29.0</v>
      </c>
      <c r="K12" s="118" t="s">
        <v>76</v>
      </c>
      <c r="L12" s="118" t="s">
        <v>28</v>
      </c>
      <c r="M12" s="26">
        <f>SMALL(GW!$O$5:$AZ$14,Stats!I12)-J12</f>
        <v>-3</v>
      </c>
      <c r="N12" s="116"/>
      <c r="O12" s="116"/>
      <c r="P12" s="2">
        <f>COUNTIF(GW!$2:$2,Stats!Q12)</f>
        <v>5</v>
      </c>
      <c r="Q12" s="127" t="s">
        <v>8</v>
      </c>
      <c r="R12" s="128" t="str">
        <f>VLOOKUP(R$3,'Pomocný'!K$16:$M$26,3,FALSE)</f>
        <v>Josef Mokráň</v>
      </c>
      <c r="S12" s="128">
        <f>VLOOKUP(R12,'Pomocný'!$B:$L,10,FALSE)</f>
        <v>363</v>
      </c>
      <c r="T12" s="128"/>
      <c r="U12" s="128" t="str">
        <f>VLOOKUP(U$3,'Pomocný'!K$16:$M$26,3,FALSE)</f>
        <v>Milan Pádivý</v>
      </c>
      <c r="V12" s="128">
        <f>VLOOKUP(U12,'Pomocný'!$B:$L,10,FALSE)</f>
        <v>353</v>
      </c>
      <c r="W12" s="128"/>
      <c r="X12" s="128" t="str">
        <f>VLOOKUP(X$3,'Pomocný'!K$16:$M$26,3,FALSE)</f>
        <v>Tomáš Kreps</v>
      </c>
      <c r="Y12" s="128">
        <f>VLOOKUP(X12,'Pomocný'!$B:$L,10,FALSE)</f>
        <v>333</v>
      </c>
    </row>
    <row r="13" ht="14.25" customHeight="1">
      <c r="B13" s="2">
        <f t="shared" si="1"/>
        <v>11</v>
      </c>
      <c r="C13" s="118">
        <v>84.0</v>
      </c>
      <c r="D13" s="118" t="s">
        <v>69</v>
      </c>
      <c r="E13" s="118" t="s">
        <v>20</v>
      </c>
      <c r="F13" s="26">
        <f>LARGE(GW!$O$4:$AZ$14,Stats!B13)-C13</f>
        <v>20</v>
      </c>
      <c r="G13" s="2"/>
      <c r="H13" s="2"/>
      <c r="I13" s="2">
        <f t="shared" si="2"/>
        <v>11</v>
      </c>
      <c r="J13" s="118">
        <v>30.0</v>
      </c>
      <c r="K13" s="118" t="s">
        <v>76</v>
      </c>
      <c r="L13" s="118" t="s">
        <v>32</v>
      </c>
      <c r="M13" s="26">
        <f>SMALL(GW!$O$5:$AZ$14,Stats!I13)-J13</f>
        <v>-3</v>
      </c>
      <c r="N13" s="116"/>
      <c r="O13" s="116"/>
      <c r="P13" s="2">
        <f>COUNTIF(GW!$2:$2,Stats!Q13)</f>
        <v>4</v>
      </c>
      <c r="Q13" s="127" t="s">
        <v>9</v>
      </c>
      <c r="R13" s="128" t="str">
        <f>VLOOKUP(R$3,'Pomocný'!L$16:$M$26,2,FALSE)</f>
        <v>Tomáš Kreps</v>
      </c>
      <c r="S13" s="128">
        <f>VLOOKUP(R13,'Pomocný'!$B:$L,11,FALSE)</f>
        <v>236</v>
      </c>
      <c r="T13" s="128"/>
      <c r="U13" s="128" t="str">
        <f>VLOOKUP(U$3,'Pomocný'!L$16:$M$26,2,FALSE)</f>
        <v>Martin Šípek</v>
      </c>
      <c r="V13" s="128">
        <f>VLOOKUP(U13,'Pomocný'!$B:$L,11,FALSE)</f>
        <v>218</v>
      </c>
      <c r="W13" s="128"/>
      <c r="X13" s="128" t="str">
        <f>VLOOKUP(X$3,'Pomocný'!L$16:$M$26,2,FALSE)</f>
        <v>Josef Mokráň</v>
      </c>
      <c r="Y13" s="128">
        <f>VLOOKUP(X13,'Pomocný'!$B:$L,11,FALSE)</f>
        <v>210</v>
      </c>
    </row>
    <row r="14" ht="14.25" customHeight="1">
      <c r="B14" s="2">
        <f t="shared" si="1"/>
        <v>12</v>
      </c>
      <c r="C14" s="118">
        <v>83.0</v>
      </c>
      <c r="D14" s="118" t="s">
        <v>74</v>
      </c>
      <c r="E14" s="118" t="s">
        <v>31</v>
      </c>
      <c r="F14" s="26">
        <f>LARGE(GW!$O$4:$AZ$14,Stats!B14)-C14</f>
        <v>19</v>
      </c>
      <c r="G14" s="2"/>
      <c r="H14" s="2"/>
      <c r="I14" s="2">
        <f t="shared" si="2"/>
        <v>11</v>
      </c>
      <c r="J14" s="118">
        <v>30.0</v>
      </c>
      <c r="K14" s="118" t="s">
        <v>77</v>
      </c>
      <c r="L14" s="118" t="s">
        <v>33</v>
      </c>
      <c r="M14" s="26">
        <f>SMALL(GW!$O$5:$AZ$14,Stats!I14)-J14</f>
        <v>-3</v>
      </c>
      <c r="N14" s="116"/>
      <c r="O14" s="116"/>
    </row>
    <row r="15" ht="14.25" customHeight="1">
      <c r="A15" s="129"/>
      <c r="B15" s="2">
        <f t="shared" si="1"/>
        <v>13</v>
      </c>
      <c r="C15" s="118">
        <v>82.0</v>
      </c>
      <c r="D15" s="118" t="s">
        <v>64</v>
      </c>
      <c r="E15" s="118" t="s">
        <v>21</v>
      </c>
      <c r="F15" s="26">
        <f>LARGE(GW!$O$4:$AZ$14,Stats!B15)-C15</f>
        <v>20</v>
      </c>
      <c r="G15" s="2"/>
      <c r="H15" s="2"/>
      <c r="I15" s="2">
        <f t="shared" si="2"/>
        <v>13</v>
      </c>
      <c r="J15" s="118">
        <v>31.0</v>
      </c>
      <c r="K15" s="118" t="s">
        <v>69</v>
      </c>
      <c r="L15" s="118" t="s">
        <v>28</v>
      </c>
      <c r="M15" s="26">
        <f>SMALL(GW!$O$5:$AZ$14,Stats!I15)-J15</f>
        <v>-4</v>
      </c>
      <c r="N15" s="116"/>
      <c r="O15" s="116"/>
      <c r="P15" s="129"/>
      <c r="Q15" s="129"/>
      <c r="R15" s="129"/>
      <c r="S15" s="129"/>
      <c r="T15" s="129"/>
      <c r="U15" s="129"/>
      <c r="V15" s="129"/>
      <c r="W15" s="129"/>
      <c r="X15" s="129"/>
      <c r="Y15" s="129"/>
    </row>
    <row r="16" ht="14.25" customHeight="1">
      <c r="B16" s="2">
        <f t="shared" si="1"/>
        <v>14</v>
      </c>
      <c r="C16" s="118">
        <v>81.0</v>
      </c>
      <c r="D16" s="118" t="s">
        <v>72</v>
      </c>
      <c r="E16" s="118" t="s">
        <v>24</v>
      </c>
      <c r="F16" s="26">
        <f>LARGE(GW!$O$4:$AZ$14,Stats!B16)-C16</f>
        <v>21</v>
      </c>
      <c r="G16" s="2"/>
      <c r="H16" s="2"/>
      <c r="I16" s="2">
        <f t="shared" si="2"/>
        <v>14</v>
      </c>
      <c r="J16" s="118">
        <v>33.0</v>
      </c>
      <c r="K16" s="118" t="s">
        <v>75</v>
      </c>
      <c r="L16" s="118" t="s">
        <v>22</v>
      </c>
      <c r="M16" s="26">
        <f>SMALL(GW!$O$5:$AZ$14,Stats!I16)-J16</f>
        <v>-5</v>
      </c>
      <c r="N16" s="116"/>
      <c r="O16" s="116"/>
      <c r="P16" s="2"/>
      <c r="R16" s="117" t="s">
        <v>90</v>
      </c>
      <c r="U16" s="129"/>
      <c r="V16" s="117" t="s">
        <v>91</v>
      </c>
    </row>
    <row r="17" ht="14.25" customHeight="1">
      <c r="B17" s="2">
        <f t="shared" si="1"/>
        <v>14</v>
      </c>
      <c r="C17" s="118">
        <v>81.0</v>
      </c>
      <c r="D17" s="118" t="s">
        <v>64</v>
      </c>
      <c r="E17" s="118" t="s">
        <v>31</v>
      </c>
      <c r="F17" s="26">
        <f>LARGE(GW!$O$4:$AZ$14,Stats!B17)-C17</f>
        <v>21</v>
      </c>
      <c r="G17" s="2"/>
      <c r="H17" s="2"/>
      <c r="I17" s="2">
        <f t="shared" si="2"/>
        <v>14</v>
      </c>
      <c r="J17" s="118">
        <v>33.0</v>
      </c>
      <c r="K17" s="118" t="s">
        <v>71</v>
      </c>
      <c r="L17" s="118" t="s">
        <v>28</v>
      </c>
      <c r="M17" s="26">
        <f>SMALL(GW!$O$5:$AZ$14,Stats!I17)-J17</f>
        <v>-5</v>
      </c>
      <c r="N17" s="116"/>
      <c r="O17" s="116"/>
      <c r="Q17" s="2">
        <f t="shared" ref="Q17:Q26" si="3">_xlfn.RANK.EQ(S17,$S$17:$S$27,0)</f>
        <v>2</v>
      </c>
      <c r="R17" s="2" t="s">
        <v>77</v>
      </c>
      <c r="S17" s="2">
        <f>VLOOKUP(R17,'Pomocný'!$O:$P,2,FALSE)</f>
        <v>6</v>
      </c>
      <c r="V17" s="2">
        <f t="shared" ref="V17:V26" si="4">_xlfn.RANK.EQ(Y17,$Y$17:$Y$26,0)</f>
        <v>2</v>
      </c>
      <c r="X17" s="2" t="s">
        <v>77</v>
      </c>
      <c r="Y17" s="2">
        <f>VLOOKUP(X17,'Pomocný'!$O$16:$P$26,2,FALSE)</f>
        <v>8</v>
      </c>
    </row>
    <row r="18" ht="14.25" customHeight="1">
      <c r="B18" s="2">
        <f t="shared" si="1"/>
        <v>14</v>
      </c>
      <c r="C18" s="118">
        <v>81.0</v>
      </c>
      <c r="D18" s="118" t="s">
        <v>77</v>
      </c>
      <c r="E18" s="118" t="s">
        <v>31</v>
      </c>
      <c r="F18" s="26">
        <f>LARGE(GW!$O$4:$AZ$14,Stats!B18)-C18</f>
        <v>21</v>
      </c>
      <c r="G18" s="2"/>
      <c r="H18" s="2"/>
      <c r="I18" s="2">
        <f t="shared" si="2"/>
        <v>16</v>
      </c>
      <c r="J18" s="118">
        <v>34.0</v>
      </c>
      <c r="K18" s="118" t="s">
        <v>78</v>
      </c>
      <c r="L18" s="118" t="s">
        <v>26</v>
      </c>
      <c r="M18" s="26">
        <f>SMALL(GW!$O$5:$AZ$14,Stats!I18)-J18</f>
        <v>-5</v>
      </c>
      <c r="N18" s="116"/>
      <c r="O18" s="116"/>
      <c r="Q18" s="2">
        <f t="shared" si="3"/>
        <v>1</v>
      </c>
      <c r="R18" s="2" t="s">
        <v>67</v>
      </c>
      <c r="S18" s="2">
        <f>VLOOKUP(R18,'Pomocný'!$O:$P,2,FALSE)</f>
        <v>8</v>
      </c>
      <c r="V18" s="2">
        <f t="shared" si="4"/>
        <v>2</v>
      </c>
      <c r="X18" s="2" t="s">
        <v>76</v>
      </c>
      <c r="Y18" s="2">
        <f>VLOOKUP(X18,'Pomocný'!$O$16:$P$26,2,FALSE)</f>
        <v>8</v>
      </c>
    </row>
    <row r="19" ht="14.25" customHeight="1">
      <c r="B19" s="2"/>
      <c r="C19" s="2"/>
      <c r="D19" s="2"/>
      <c r="E19" s="2"/>
      <c r="F19" s="26" t="str">
        <f>LARGE(GW!$O$5:$AZ$14,Stats!B19)-C19</f>
        <v>#NUM!</v>
      </c>
      <c r="G19" s="2"/>
      <c r="H19" s="2"/>
      <c r="I19" s="2">
        <f t="shared" si="2"/>
        <v>16</v>
      </c>
      <c r="J19" s="118">
        <v>34.0</v>
      </c>
      <c r="K19" s="118" t="s">
        <v>77</v>
      </c>
      <c r="L19" s="118" t="s">
        <v>32</v>
      </c>
      <c r="M19" s="26">
        <f>SMALL(GW!$O$5:$AZ$14,Stats!I19)-J19</f>
        <v>-5</v>
      </c>
      <c r="N19" s="116"/>
      <c r="O19" s="116"/>
      <c r="Q19" s="2">
        <f t="shared" si="3"/>
        <v>3</v>
      </c>
      <c r="R19" s="2" t="s">
        <v>74</v>
      </c>
      <c r="S19" s="2">
        <f>VLOOKUP(R19,'Pomocný'!$O:$P,2,FALSE)</f>
        <v>4</v>
      </c>
      <c r="V19" s="2">
        <f t="shared" si="4"/>
        <v>1</v>
      </c>
      <c r="X19" s="2" t="s">
        <v>78</v>
      </c>
      <c r="Y19" s="2">
        <f>VLOOKUP(X19,'Pomocný'!$O$16:$P$26,2,FALSE)</f>
        <v>10</v>
      </c>
    </row>
    <row r="20" ht="14.25" customHeight="1">
      <c r="B20" s="2"/>
      <c r="C20" s="2"/>
      <c r="D20" s="2"/>
      <c r="E20" s="2"/>
      <c r="F20" s="26" t="str">
        <f>LARGE(GW!$O$5:$AZ$14,Stats!B20)-C20</f>
        <v>#NUM!</v>
      </c>
      <c r="G20" s="2"/>
      <c r="H20" s="2"/>
      <c r="I20" s="2"/>
      <c r="J20" s="2"/>
      <c r="K20" s="2"/>
      <c r="L20" s="2"/>
      <c r="M20" s="26" t="str">
        <f>SMALL(GW!$O$5:$AZ$14,Stats!I20)-J20</f>
        <v>#NUM!</v>
      </c>
      <c r="N20" s="116"/>
      <c r="O20" s="116"/>
      <c r="Q20" s="2">
        <f t="shared" si="3"/>
        <v>3</v>
      </c>
      <c r="R20" s="2" t="s">
        <v>76</v>
      </c>
      <c r="S20" s="2">
        <f>VLOOKUP(R20,'Pomocný'!$O:$P,2,FALSE)</f>
        <v>4</v>
      </c>
      <c r="V20" s="2">
        <f t="shared" si="4"/>
        <v>6</v>
      </c>
      <c r="X20" s="2" t="s">
        <v>74</v>
      </c>
      <c r="Y20" s="2">
        <f>VLOOKUP(X20,'Pomocný'!$O$16:$P$26,2,FALSE)</f>
        <v>2</v>
      </c>
    </row>
    <row r="21" ht="14.25" customHeight="1">
      <c r="B21" s="2"/>
      <c r="C21" s="2"/>
      <c r="D21" s="2"/>
      <c r="E21" s="2"/>
      <c r="F21" s="26" t="str">
        <f>LARGE(GW!$O$5:$AZ$14,Stats!B21)-C21</f>
        <v>#NUM!</v>
      </c>
      <c r="G21" s="2"/>
      <c r="H21" s="2"/>
      <c r="I21" s="2"/>
      <c r="J21" s="2"/>
      <c r="K21" s="2"/>
      <c r="L21" s="2"/>
      <c r="M21" s="26" t="str">
        <f>SMALL(GW!$O$5:$AZ$14,Stats!I21)-J21</f>
        <v>#NUM!</v>
      </c>
      <c r="N21" s="116"/>
      <c r="O21" s="116"/>
      <c r="Q21" s="2">
        <f t="shared" si="3"/>
        <v>3</v>
      </c>
      <c r="R21" s="2" t="s">
        <v>69</v>
      </c>
      <c r="S21" s="2">
        <f>VLOOKUP(R21,'Pomocný'!$O:$P,2,FALSE)</f>
        <v>4</v>
      </c>
      <c r="V21" s="2">
        <f t="shared" si="4"/>
        <v>4</v>
      </c>
      <c r="X21" s="2" t="s">
        <v>69</v>
      </c>
      <c r="Y21" s="2">
        <f>VLOOKUP(X21,'Pomocný'!$O$16:$P$26,2,FALSE)</f>
        <v>3</v>
      </c>
    </row>
    <row r="22" ht="14.25" customHeight="1">
      <c r="B22" s="2"/>
      <c r="C22" s="2"/>
      <c r="D22" s="2"/>
      <c r="E22" s="2"/>
      <c r="F22" s="26" t="str">
        <f>LARGE(GW!$O$5:$AZ$14,Stats!B22)-C22</f>
        <v>#NUM!</v>
      </c>
      <c r="G22" s="2"/>
      <c r="H22" s="2"/>
      <c r="I22" s="2"/>
      <c r="J22" s="2"/>
      <c r="K22" s="2"/>
      <c r="L22" s="2"/>
      <c r="M22" s="26" t="str">
        <f>SMALL(GW!$O$5:$AZ$14,Stats!I22)-J22</f>
        <v>#NUM!</v>
      </c>
      <c r="N22" s="116"/>
      <c r="O22" s="116"/>
      <c r="Q22" s="2">
        <f t="shared" si="3"/>
        <v>3</v>
      </c>
      <c r="R22" s="2" t="s">
        <v>71</v>
      </c>
      <c r="S22" s="2">
        <f>VLOOKUP(R22,'Pomocný'!$O:$P,2,FALSE)</f>
        <v>4</v>
      </c>
      <c r="V22" s="2">
        <f t="shared" si="4"/>
        <v>4</v>
      </c>
      <c r="X22" s="2" t="s">
        <v>67</v>
      </c>
      <c r="Y22" s="2">
        <f>VLOOKUP(X22,'Pomocný'!$O$16:$P$26,2,FALSE)</f>
        <v>3</v>
      </c>
    </row>
    <row r="23" ht="14.25" customHeight="1">
      <c r="B23" s="2"/>
      <c r="C23" s="2"/>
      <c r="D23" s="2"/>
      <c r="E23" s="2"/>
      <c r="F23" s="26" t="str">
        <f>LARGE(GW!$O$5:$AZ$14,Stats!B23)-C23</f>
        <v>#NUM!</v>
      </c>
      <c r="G23" s="2"/>
      <c r="H23" s="2"/>
      <c r="I23" s="2"/>
      <c r="J23" s="2"/>
      <c r="K23" s="2"/>
      <c r="L23" s="2"/>
      <c r="M23" s="26" t="str">
        <f>SMALL(GW!$O$5:$AZ$14,Stats!I23)-J23</f>
        <v>#NUM!</v>
      </c>
      <c r="N23" s="116"/>
      <c r="O23" s="116"/>
      <c r="Q23" s="2">
        <f t="shared" si="3"/>
        <v>10</v>
      </c>
      <c r="R23" s="2" t="s">
        <v>78</v>
      </c>
      <c r="S23" s="2">
        <f>VLOOKUP(R23,'Pomocný'!$O:$P,2,FALSE)</f>
        <v>1</v>
      </c>
      <c r="V23" s="2">
        <f t="shared" si="4"/>
        <v>9</v>
      </c>
      <c r="X23" s="2" t="s">
        <v>71</v>
      </c>
      <c r="Y23" s="2">
        <f>VLOOKUP(X23,'Pomocný'!$O$16:$P$26,2,FALSE)</f>
        <v>1</v>
      </c>
    </row>
    <row r="24" ht="14.25" customHeight="1">
      <c r="B24" s="2"/>
      <c r="C24" s="2"/>
      <c r="D24" s="2"/>
      <c r="E24" s="2"/>
      <c r="F24" s="26" t="str">
        <f>LARGE(GW!$O$5:$AZ$14,Stats!B24)-C24</f>
        <v>#NUM!</v>
      </c>
      <c r="G24" s="2"/>
      <c r="H24" s="2"/>
      <c r="I24" s="2"/>
      <c r="J24" s="2"/>
      <c r="K24" s="2"/>
      <c r="L24" s="2"/>
      <c r="M24" s="26" t="str">
        <f>SMALL(GW!$O$5:$AZ$14,Stats!I24)-J24</f>
        <v>#NUM!</v>
      </c>
      <c r="N24" s="116"/>
      <c r="O24" s="116"/>
      <c r="Q24" s="2">
        <f t="shared" si="3"/>
        <v>3</v>
      </c>
      <c r="R24" s="2" t="s">
        <v>64</v>
      </c>
      <c r="S24" s="2">
        <f>VLOOKUP(R24,'Pomocný'!$O:$P,2,FALSE)</f>
        <v>4</v>
      </c>
      <c r="V24" s="2">
        <f t="shared" si="4"/>
        <v>6</v>
      </c>
      <c r="X24" s="2" t="s">
        <v>75</v>
      </c>
      <c r="Y24" s="2">
        <f>VLOOKUP(X24,'Pomocný'!$O$16:$P$26,2,FALSE)</f>
        <v>2</v>
      </c>
    </row>
    <row r="25" ht="14.25" customHeight="1">
      <c r="B25" s="2"/>
      <c r="C25" s="2"/>
      <c r="D25" s="2"/>
      <c r="E25" s="2"/>
      <c r="F25" s="26" t="str">
        <f>LARGE(GW!$O$5:$AZ$14,Stats!B25)-C25</f>
        <v>#NUM!</v>
      </c>
      <c r="G25" s="2"/>
      <c r="H25" s="2"/>
      <c r="I25" s="2"/>
      <c r="J25" s="2"/>
      <c r="K25" s="2"/>
      <c r="L25" s="2"/>
      <c r="M25" s="26" t="str">
        <f>SMALL(GW!$O$5:$AZ$14,Stats!I25)-J25</f>
        <v>#NUM!</v>
      </c>
      <c r="N25" s="116"/>
      <c r="O25" s="116"/>
      <c r="Q25" s="2">
        <f t="shared" si="3"/>
        <v>8</v>
      </c>
      <c r="R25" s="2" t="s">
        <v>72</v>
      </c>
      <c r="S25" s="2">
        <f>VLOOKUP(R25,'Pomocný'!$O:$P,2,FALSE)</f>
        <v>3</v>
      </c>
      <c r="V25" s="2">
        <f t="shared" si="4"/>
        <v>6</v>
      </c>
      <c r="X25" s="2" t="s">
        <v>72</v>
      </c>
      <c r="Y25" s="2">
        <f>VLOOKUP(X25,'Pomocný'!$O$16:$P$26,2,FALSE)</f>
        <v>2</v>
      </c>
    </row>
    <row r="26" ht="14.25" customHeight="1">
      <c r="B26" s="2"/>
      <c r="C26" s="2"/>
      <c r="D26" s="2"/>
      <c r="E26" s="2"/>
      <c r="F26" s="26" t="str">
        <f>LARGE(GW!$O$5:$AZ$14,Stats!B26)-C26</f>
        <v>#NUM!</v>
      </c>
      <c r="G26" s="2"/>
      <c r="H26" s="2"/>
      <c r="I26" s="2"/>
      <c r="J26" s="2"/>
      <c r="K26" s="2"/>
      <c r="L26" s="2"/>
      <c r="M26" s="26" t="str">
        <f>SMALL(GW!$O$5:$AZ$14,Stats!I26)-J26</f>
        <v>#NUM!</v>
      </c>
      <c r="N26" s="116"/>
      <c r="O26" s="116"/>
      <c r="Q26" s="2">
        <f t="shared" si="3"/>
        <v>9</v>
      </c>
      <c r="R26" s="2" t="s">
        <v>75</v>
      </c>
      <c r="S26" s="2">
        <f>VLOOKUP(R26,'Pomocný'!$O:$P,2,FALSE)</f>
        <v>2</v>
      </c>
      <c r="V26" s="2">
        <f t="shared" si="4"/>
        <v>9</v>
      </c>
      <c r="X26" s="2" t="s">
        <v>64</v>
      </c>
      <c r="Y26" s="2">
        <f>VLOOKUP(X26,'Pomocný'!$O$16:$P$26,2,FALSE)</f>
        <v>1</v>
      </c>
    </row>
    <row r="27" ht="14.25" customHeight="1">
      <c r="B27" s="2"/>
      <c r="C27" s="2"/>
      <c r="D27" s="2"/>
      <c r="E27" s="2"/>
      <c r="F27" s="26" t="str">
        <f>LARGE(GW!$O$5:$AZ$14,Stats!B27)-C27</f>
        <v>#NUM!</v>
      </c>
      <c r="G27" s="2"/>
      <c r="H27" s="2"/>
      <c r="I27" s="2"/>
      <c r="J27" s="2"/>
      <c r="K27" s="2"/>
      <c r="L27" s="2"/>
      <c r="M27" s="26" t="str">
        <f>SMALL(GW!$O$5:$AZ$14,Stats!I27)-J27</f>
        <v>#NUM!</v>
      </c>
      <c r="N27" s="116"/>
      <c r="O27" s="116"/>
      <c r="Q27" s="2"/>
      <c r="R27" s="2"/>
      <c r="S27" s="2"/>
    </row>
    <row r="28" ht="14.25" customHeight="1">
      <c r="J28" s="2"/>
      <c r="K28" s="2"/>
      <c r="L28" s="2"/>
      <c r="O28" s="2"/>
      <c r="Q28" s="130"/>
      <c r="R28" s="130"/>
      <c r="S28" s="130"/>
      <c r="V28" s="130"/>
      <c r="W28" s="130"/>
      <c r="X28" s="130"/>
      <c r="Y28" s="130"/>
    </row>
    <row r="29" ht="14.25" customHeight="1">
      <c r="A29" s="130"/>
      <c r="B29" s="130"/>
      <c r="C29" s="130"/>
      <c r="D29" s="130"/>
      <c r="E29" s="130"/>
      <c r="F29" s="130"/>
      <c r="G29" s="130"/>
      <c r="H29" s="130"/>
      <c r="I29" s="130"/>
      <c r="J29" s="130"/>
      <c r="K29" s="130"/>
      <c r="L29" s="130"/>
      <c r="M29" s="130"/>
      <c r="N29" s="130"/>
      <c r="O29" s="130"/>
    </row>
    <row r="30" ht="14.25" customHeight="1">
      <c r="B30" s="130"/>
      <c r="C30" s="130"/>
      <c r="D30" s="130"/>
      <c r="E30" s="130"/>
      <c r="F30" s="130"/>
      <c r="G30" s="130"/>
      <c r="H30" s="130"/>
      <c r="I30" s="130"/>
      <c r="J30" s="130"/>
      <c r="K30" s="130"/>
      <c r="L30" s="130"/>
      <c r="M30" s="130"/>
      <c r="N30" s="130"/>
      <c r="O30" s="130"/>
      <c r="P30" s="130"/>
      <c r="T30" s="130"/>
      <c r="U30" s="130"/>
    </row>
    <row r="31" ht="14.25" customHeight="1">
      <c r="B31" s="130"/>
      <c r="C31" s="130"/>
      <c r="D31" s="130"/>
      <c r="E31" s="130"/>
      <c r="F31" s="130"/>
      <c r="G31" s="130"/>
      <c r="H31" s="130"/>
      <c r="I31" s="130"/>
      <c r="J31" s="130"/>
      <c r="K31" s="130"/>
      <c r="L31" s="130"/>
      <c r="M31" s="130"/>
      <c r="N31" s="130"/>
      <c r="O31" s="130"/>
    </row>
    <row r="32" ht="14.25" customHeight="1">
      <c r="B32" s="130"/>
      <c r="C32" s="130"/>
      <c r="D32" s="130"/>
      <c r="E32" s="130"/>
      <c r="F32" s="130"/>
      <c r="G32" s="130"/>
      <c r="H32" s="130"/>
      <c r="I32" s="130"/>
      <c r="J32" s="130"/>
      <c r="K32" s="130"/>
      <c r="L32" s="130"/>
      <c r="M32" s="130"/>
      <c r="N32" s="130"/>
      <c r="O32" s="130"/>
    </row>
    <row r="33" ht="14.25" customHeight="1">
      <c r="B33" s="130"/>
      <c r="C33" s="130"/>
      <c r="D33" s="130"/>
      <c r="E33" s="130"/>
      <c r="F33" s="130"/>
      <c r="G33" s="130"/>
      <c r="H33" s="130"/>
      <c r="I33" s="130"/>
      <c r="J33" s="130"/>
      <c r="K33" s="130"/>
      <c r="L33" s="130"/>
      <c r="M33" s="130"/>
      <c r="N33" s="130"/>
      <c r="O33" s="130"/>
    </row>
    <row r="34" ht="14.25" customHeight="1">
      <c r="B34" s="130"/>
      <c r="C34" s="130"/>
      <c r="D34" s="130"/>
      <c r="E34" s="130"/>
      <c r="F34" s="130"/>
      <c r="G34" s="130"/>
      <c r="H34" s="130"/>
      <c r="I34" s="130"/>
      <c r="J34" s="130"/>
      <c r="K34" s="130"/>
      <c r="L34" s="130"/>
      <c r="M34" s="130"/>
      <c r="N34" s="130"/>
      <c r="O34" s="130"/>
    </row>
    <row r="35" ht="14.25" customHeight="1">
      <c r="B35" s="130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30"/>
      <c r="O35" s="130"/>
    </row>
    <row r="36" ht="14.25" customHeight="1">
      <c r="D36" s="2"/>
      <c r="E36" s="2"/>
      <c r="G36" s="26"/>
      <c r="J36" s="2"/>
      <c r="K36" s="2"/>
      <c r="O36" s="2"/>
    </row>
    <row r="37" ht="14.25" customHeight="1">
      <c r="O37" s="2"/>
    </row>
    <row r="38" ht="14.25" customHeight="1">
      <c r="O38" s="2"/>
    </row>
    <row r="39" ht="14.25" customHeight="1">
      <c r="O39" s="2"/>
    </row>
    <row r="40" ht="14.25" customHeight="1">
      <c r="O40" s="2"/>
    </row>
    <row r="41" ht="14.25" customHeight="1">
      <c r="O41" s="2"/>
    </row>
    <row r="42" ht="14.25" customHeight="1">
      <c r="O42" s="2"/>
    </row>
    <row r="43" ht="14.25" customHeight="1">
      <c r="O43" s="2"/>
    </row>
    <row r="44" ht="14.25" customHeight="1">
      <c r="B44" s="2"/>
      <c r="C44" s="2"/>
      <c r="D44" s="131"/>
      <c r="E44" s="2"/>
      <c r="F44" s="2"/>
      <c r="G44" s="2"/>
      <c r="H44" s="2"/>
      <c r="I44" s="131"/>
      <c r="O44" s="2"/>
    </row>
    <row r="45" ht="14.25" customHeight="1">
      <c r="B45" s="2"/>
      <c r="C45" s="2"/>
      <c r="D45" s="2"/>
      <c r="E45" s="131"/>
      <c r="F45" s="2"/>
      <c r="G45" s="2"/>
      <c r="H45" s="2"/>
      <c r="I45" s="131"/>
      <c r="O45" s="2"/>
    </row>
    <row r="46" ht="14.25" customHeight="1">
      <c r="B46" s="2"/>
      <c r="C46" s="2"/>
      <c r="D46" s="2"/>
      <c r="E46" s="131"/>
      <c r="F46" s="2"/>
      <c r="G46" s="2"/>
      <c r="H46" s="2"/>
      <c r="I46" s="131"/>
      <c r="O46" s="2"/>
    </row>
    <row r="47" ht="14.25" customHeight="1">
      <c r="B47" s="2"/>
      <c r="C47" s="2"/>
      <c r="D47" s="2"/>
      <c r="E47" s="131"/>
      <c r="F47" s="2"/>
      <c r="G47" s="2"/>
      <c r="H47" s="2"/>
      <c r="I47" s="131"/>
      <c r="O47" s="2"/>
    </row>
    <row r="48" ht="14.25" customHeight="1">
      <c r="B48" s="2"/>
      <c r="C48" s="2"/>
      <c r="D48" s="2"/>
      <c r="E48" s="131"/>
      <c r="F48" s="2"/>
      <c r="G48" s="2"/>
      <c r="H48" s="2"/>
      <c r="I48" s="131"/>
      <c r="O48" s="2"/>
    </row>
    <row r="49" ht="14.25" customHeight="1">
      <c r="O49" s="2"/>
    </row>
    <row r="50" ht="14.25" customHeight="1">
      <c r="O50" s="2"/>
    </row>
    <row r="51" ht="14.25" customHeight="1">
      <c r="O51" s="2"/>
    </row>
    <row r="52" ht="14.25" customHeight="1">
      <c r="O52" s="2"/>
    </row>
    <row r="53" ht="14.25" customHeight="1">
      <c r="O53" s="2"/>
    </row>
    <row r="54" ht="14.25" customHeight="1">
      <c r="O54" s="2"/>
    </row>
    <row r="55" ht="14.25" customHeight="1">
      <c r="O55" s="2"/>
    </row>
    <row r="56" ht="14.25" customHeight="1">
      <c r="O56" s="2"/>
    </row>
    <row r="57" ht="14.25" customHeight="1">
      <c r="O57" s="2"/>
    </row>
    <row r="58" ht="14.25" customHeight="1">
      <c r="O58" s="2"/>
    </row>
    <row r="59" ht="14.25" customHeight="1">
      <c r="O59" s="2"/>
    </row>
    <row r="60" ht="14.25" customHeight="1">
      <c r="O60" s="2"/>
    </row>
    <row r="61" ht="14.25" customHeight="1">
      <c r="O61" s="2"/>
    </row>
    <row r="62" ht="14.25" customHeight="1">
      <c r="O62" s="2"/>
    </row>
    <row r="63" ht="14.25" customHeight="1">
      <c r="O63" s="2"/>
    </row>
    <row r="64" ht="14.25" customHeight="1">
      <c r="O64" s="2"/>
    </row>
    <row r="65" ht="14.25" customHeight="1">
      <c r="O65" s="2"/>
    </row>
    <row r="66" ht="14.25" customHeight="1">
      <c r="O66" s="2"/>
    </row>
    <row r="67" ht="14.25" customHeight="1">
      <c r="O67" s="2"/>
    </row>
    <row r="68" ht="14.25" customHeight="1">
      <c r="O68" s="2"/>
    </row>
    <row r="69" ht="14.25" customHeight="1">
      <c r="O69" s="2"/>
    </row>
    <row r="70" ht="14.25" customHeight="1">
      <c r="O70" s="2"/>
    </row>
    <row r="71" ht="14.25" customHeight="1">
      <c r="O71" s="2"/>
    </row>
    <row r="72" ht="14.25" customHeight="1">
      <c r="O72" s="2"/>
    </row>
    <row r="73" ht="14.25" customHeight="1">
      <c r="O73" s="2"/>
    </row>
    <row r="74" ht="14.25" customHeight="1">
      <c r="O74" s="2"/>
    </row>
    <row r="75" ht="14.25" customHeight="1">
      <c r="O75" s="2"/>
    </row>
    <row r="76" ht="14.25" customHeight="1">
      <c r="O76" s="2"/>
    </row>
    <row r="77" ht="14.25" customHeight="1">
      <c r="O77" s="2"/>
    </row>
    <row r="78" ht="14.25" customHeight="1">
      <c r="O78" s="2"/>
    </row>
    <row r="79" ht="14.25" customHeight="1">
      <c r="O79" s="2"/>
    </row>
    <row r="80" ht="14.25" customHeight="1">
      <c r="O80" s="2"/>
    </row>
    <row r="81" ht="14.25" customHeight="1">
      <c r="O81" s="2"/>
    </row>
    <row r="82" ht="14.25" customHeight="1">
      <c r="O82" s="2"/>
    </row>
    <row r="83" ht="14.25" customHeight="1">
      <c r="O83" s="2"/>
    </row>
    <row r="84" ht="14.25" customHeight="1">
      <c r="O84" s="2"/>
    </row>
    <row r="85" ht="14.25" customHeight="1">
      <c r="O85" s="2"/>
    </row>
    <row r="86" ht="14.25" customHeight="1">
      <c r="O86" s="2"/>
    </row>
    <row r="87" ht="14.25" customHeight="1">
      <c r="O87" s="2"/>
    </row>
    <row r="88" ht="14.25" customHeight="1">
      <c r="O88" s="2"/>
    </row>
    <row r="89" ht="14.25" customHeight="1">
      <c r="O89" s="2"/>
    </row>
    <row r="90" ht="14.25" customHeight="1">
      <c r="O90" s="2"/>
    </row>
    <row r="91" ht="14.25" customHeight="1">
      <c r="O91" s="2"/>
    </row>
    <row r="92" ht="14.25" customHeight="1">
      <c r="O92" s="2"/>
    </row>
    <row r="93" ht="14.25" customHeight="1">
      <c r="O93" s="2"/>
    </row>
    <row r="94" ht="14.25" customHeight="1">
      <c r="O94" s="2"/>
    </row>
    <row r="95" ht="14.25" customHeight="1">
      <c r="O95" s="2"/>
    </row>
    <row r="96" ht="14.25" customHeight="1">
      <c r="O96" s="2"/>
    </row>
    <row r="97" ht="14.25" customHeight="1">
      <c r="O97" s="2"/>
    </row>
    <row r="98" ht="14.25" customHeight="1">
      <c r="O98" s="2"/>
    </row>
    <row r="99" ht="14.25" customHeight="1">
      <c r="O99" s="2"/>
    </row>
    <row r="100" ht="14.25" customHeight="1">
      <c r="O100" s="2"/>
    </row>
    <row r="101" ht="14.25" customHeight="1">
      <c r="O101" s="2"/>
    </row>
    <row r="102" ht="14.25" customHeight="1">
      <c r="O102" s="2"/>
    </row>
    <row r="103" ht="14.25" customHeight="1">
      <c r="O103" s="2"/>
    </row>
    <row r="104" ht="14.25" customHeight="1">
      <c r="O104" s="2"/>
    </row>
    <row r="105" ht="14.25" customHeight="1">
      <c r="O105" s="2"/>
    </row>
    <row r="106" ht="14.25" customHeight="1">
      <c r="O106" s="2"/>
    </row>
    <row r="107" ht="14.25" customHeight="1">
      <c r="O107" s="2"/>
    </row>
    <row r="108" ht="14.25" customHeight="1">
      <c r="O108" s="2"/>
    </row>
    <row r="109" ht="14.25" customHeight="1">
      <c r="O109" s="2"/>
    </row>
    <row r="110" ht="14.25" customHeight="1">
      <c r="O110" s="2"/>
    </row>
    <row r="111" ht="14.25" customHeight="1">
      <c r="O111" s="2"/>
    </row>
    <row r="112" ht="14.25" customHeight="1">
      <c r="O112" s="2"/>
    </row>
    <row r="113" ht="14.25" customHeight="1">
      <c r="O113" s="2"/>
    </row>
    <row r="114" ht="14.25" customHeight="1">
      <c r="O114" s="2"/>
    </row>
    <row r="115" ht="14.25" customHeight="1">
      <c r="O115" s="2"/>
    </row>
    <row r="116" ht="14.25" customHeight="1">
      <c r="O116" s="2"/>
    </row>
    <row r="117" ht="14.25" customHeight="1">
      <c r="O117" s="2"/>
    </row>
    <row r="118" ht="14.25" customHeight="1">
      <c r="O118" s="2"/>
    </row>
    <row r="119" ht="14.25" customHeight="1">
      <c r="O119" s="2"/>
    </row>
    <row r="120" ht="14.25" customHeight="1">
      <c r="O120" s="2"/>
    </row>
    <row r="121" ht="14.25" customHeight="1">
      <c r="O121" s="2"/>
    </row>
    <row r="122" ht="14.25" customHeight="1">
      <c r="O122" s="2"/>
    </row>
    <row r="123" ht="14.25" customHeight="1">
      <c r="O123" s="2"/>
    </row>
    <row r="124" ht="14.25" customHeight="1">
      <c r="O124" s="2"/>
    </row>
    <row r="125" ht="14.25" customHeight="1">
      <c r="O125" s="2"/>
    </row>
    <row r="126" ht="14.25" customHeight="1">
      <c r="O126" s="2"/>
    </row>
    <row r="127" ht="14.25" customHeight="1">
      <c r="O127" s="2"/>
    </row>
    <row r="128" ht="14.25" customHeight="1">
      <c r="O128" s="2"/>
    </row>
    <row r="129" ht="14.25" customHeight="1">
      <c r="O129" s="2"/>
    </row>
    <row r="130" ht="14.25" customHeight="1">
      <c r="O130" s="2"/>
    </row>
    <row r="131" ht="14.25" customHeight="1">
      <c r="O131" s="2"/>
    </row>
    <row r="132" ht="14.25" customHeight="1">
      <c r="O132" s="2"/>
    </row>
    <row r="133" ht="14.25" customHeight="1">
      <c r="O133" s="2"/>
    </row>
    <row r="134" ht="14.25" customHeight="1">
      <c r="O134" s="2"/>
    </row>
    <row r="135" ht="14.25" customHeight="1">
      <c r="O135" s="2"/>
    </row>
    <row r="136" ht="14.25" customHeight="1">
      <c r="O136" s="2"/>
    </row>
    <row r="137" ht="14.25" customHeight="1">
      <c r="O137" s="2"/>
    </row>
    <row r="138" ht="14.25" customHeight="1">
      <c r="O138" s="2"/>
    </row>
    <row r="139" ht="14.25" customHeight="1">
      <c r="O139" s="2"/>
    </row>
    <row r="140" ht="14.25" customHeight="1">
      <c r="O140" s="2"/>
    </row>
    <row r="141" ht="14.25" customHeight="1">
      <c r="O141" s="2"/>
    </row>
    <row r="142" ht="14.25" customHeight="1">
      <c r="O142" s="2"/>
    </row>
    <row r="143" ht="14.25" customHeight="1">
      <c r="O143" s="2"/>
    </row>
    <row r="144" ht="14.25" customHeight="1">
      <c r="O144" s="2"/>
    </row>
    <row r="145" ht="14.25" customHeight="1">
      <c r="O145" s="2"/>
    </row>
    <row r="146" ht="14.25" customHeight="1">
      <c r="O146" s="2"/>
    </row>
    <row r="147" ht="14.25" customHeight="1">
      <c r="O147" s="2"/>
    </row>
    <row r="148" ht="14.25" customHeight="1">
      <c r="O148" s="2"/>
    </row>
    <row r="149" ht="14.25" customHeight="1">
      <c r="O149" s="2"/>
    </row>
    <row r="150" ht="14.25" customHeight="1">
      <c r="O150" s="2"/>
    </row>
    <row r="151" ht="14.25" customHeight="1">
      <c r="O151" s="2"/>
    </row>
    <row r="152" ht="14.25" customHeight="1">
      <c r="O152" s="2"/>
    </row>
    <row r="153" ht="14.25" customHeight="1">
      <c r="O153" s="2"/>
    </row>
    <row r="154" ht="14.25" customHeight="1">
      <c r="O154" s="2"/>
    </row>
    <row r="155" ht="14.25" customHeight="1">
      <c r="O155" s="2"/>
    </row>
    <row r="156" ht="14.25" customHeight="1">
      <c r="O156" s="2"/>
    </row>
    <row r="157" ht="14.25" customHeight="1">
      <c r="O157" s="2"/>
    </row>
    <row r="158" ht="14.25" customHeight="1">
      <c r="O158" s="2"/>
    </row>
    <row r="159" ht="14.25" customHeight="1">
      <c r="O159" s="2"/>
    </row>
    <row r="160" ht="14.25" customHeight="1">
      <c r="O160" s="2"/>
    </row>
    <row r="161" ht="14.25" customHeight="1">
      <c r="O161" s="2"/>
    </row>
    <row r="162" ht="14.25" customHeight="1">
      <c r="O162" s="2"/>
    </row>
    <row r="163" ht="14.25" customHeight="1">
      <c r="O163" s="2"/>
    </row>
    <row r="164" ht="14.25" customHeight="1">
      <c r="O164" s="2"/>
    </row>
    <row r="165" ht="14.25" customHeight="1">
      <c r="O165" s="2"/>
    </row>
    <row r="166" ht="14.25" customHeight="1">
      <c r="O166" s="2"/>
    </row>
    <row r="167" ht="14.25" customHeight="1">
      <c r="O167" s="2"/>
    </row>
    <row r="168" ht="14.25" customHeight="1">
      <c r="O168" s="2"/>
    </row>
    <row r="169" ht="14.25" customHeight="1">
      <c r="O169" s="2"/>
    </row>
    <row r="170" ht="14.25" customHeight="1">
      <c r="O170" s="2"/>
    </row>
    <row r="171" ht="14.25" customHeight="1">
      <c r="O171" s="2"/>
    </row>
    <row r="172" ht="14.25" customHeight="1">
      <c r="O172" s="2"/>
    </row>
    <row r="173" ht="14.25" customHeight="1">
      <c r="O173" s="2"/>
    </row>
    <row r="174" ht="14.25" customHeight="1">
      <c r="O174" s="2"/>
    </row>
    <row r="175" ht="14.25" customHeight="1">
      <c r="O175" s="2"/>
    </row>
    <row r="176" ht="14.25" customHeight="1">
      <c r="O176" s="2"/>
    </row>
    <row r="177" ht="14.25" customHeight="1">
      <c r="O177" s="2"/>
    </row>
    <row r="178" ht="14.25" customHeight="1">
      <c r="O178" s="2"/>
    </row>
    <row r="179" ht="14.25" customHeight="1">
      <c r="O179" s="2"/>
    </row>
    <row r="180" ht="14.25" customHeight="1">
      <c r="O180" s="2"/>
    </row>
    <row r="181" ht="14.25" customHeight="1">
      <c r="O181" s="2"/>
    </row>
    <row r="182" ht="14.25" customHeight="1">
      <c r="O182" s="2"/>
    </row>
    <row r="183" ht="14.25" customHeight="1">
      <c r="O183" s="2"/>
    </row>
    <row r="184" ht="14.25" customHeight="1">
      <c r="O184" s="2"/>
    </row>
    <row r="185" ht="14.25" customHeight="1">
      <c r="O185" s="2"/>
    </row>
    <row r="186" ht="14.25" customHeight="1">
      <c r="O186" s="2"/>
    </row>
    <row r="187" ht="14.25" customHeight="1">
      <c r="O187" s="2"/>
    </row>
    <row r="188" ht="14.25" customHeight="1">
      <c r="O188" s="2"/>
    </row>
    <row r="189" ht="14.25" customHeight="1">
      <c r="O189" s="2"/>
    </row>
    <row r="190" ht="14.25" customHeight="1">
      <c r="O190" s="2"/>
    </row>
    <row r="191" ht="14.25" customHeight="1">
      <c r="O191" s="2"/>
    </row>
    <row r="192" ht="14.25" customHeight="1">
      <c r="O192" s="2"/>
    </row>
    <row r="193" ht="14.25" customHeight="1">
      <c r="O193" s="2"/>
    </row>
    <row r="194" ht="14.25" customHeight="1">
      <c r="O194" s="2"/>
    </row>
    <row r="195" ht="14.25" customHeight="1">
      <c r="O195" s="2"/>
    </row>
    <row r="196" ht="14.25" customHeight="1">
      <c r="O196" s="2"/>
    </row>
    <row r="197" ht="14.25" customHeight="1">
      <c r="O197" s="2"/>
    </row>
    <row r="198" ht="14.25" customHeight="1">
      <c r="O198" s="2"/>
    </row>
    <row r="199" ht="14.25" customHeight="1">
      <c r="O199" s="2"/>
    </row>
    <row r="200" ht="14.25" customHeight="1">
      <c r="O200" s="2"/>
    </row>
    <row r="201" ht="14.25" customHeight="1">
      <c r="O201" s="2"/>
    </row>
    <row r="202" ht="14.25" customHeight="1">
      <c r="O202" s="2"/>
    </row>
    <row r="203" ht="14.25" customHeight="1">
      <c r="O203" s="2"/>
    </row>
    <row r="204" ht="14.25" customHeight="1">
      <c r="O204" s="2"/>
    </row>
    <row r="205" ht="14.25" customHeight="1">
      <c r="O205" s="2"/>
    </row>
    <row r="206" ht="14.25" customHeight="1">
      <c r="O206" s="2"/>
    </row>
    <row r="207" ht="14.25" customHeight="1">
      <c r="O207" s="2"/>
    </row>
    <row r="208" ht="14.25" customHeight="1">
      <c r="O208" s="2"/>
    </row>
    <row r="209" ht="14.25" customHeight="1">
      <c r="O209" s="2"/>
    </row>
    <row r="210" ht="14.25" customHeight="1">
      <c r="O210" s="2"/>
    </row>
    <row r="211" ht="14.25" customHeight="1">
      <c r="O211" s="2"/>
    </row>
    <row r="212" ht="14.25" customHeight="1">
      <c r="O212" s="2"/>
    </row>
    <row r="213" ht="14.25" customHeight="1">
      <c r="O213" s="2"/>
    </row>
    <row r="214" ht="14.25" customHeight="1">
      <c r="O214" s="2"/>
    </row>
    <row r="215" ht="14.25" customHeight="1">
      <c r="O215" s="2"/>
    </row>
    <row r="216" ht="14.25" customHeight="1">
      <c r="O216" s="2"/>
    </row>
    <row r="217" ht="14.25" customHeight="1">
      <c r="O217" s="2"/>
    </row>
    <row r="218" ht="14.25" customHeight="1">
      <c r="O218" s="2"/>
    </row>
    <row r="219" ht="14.25" customHeight="1">
      <c r="O219" s="2"/>
    </row>
    <row r="220" ht="14.25" customHeight="1">
      <c r="O220" s="2"/>
    </row>
    <row r="221" ht="14.25" customHeight="1">
      <c r="O221" s="2"/>
    </row>
    <row r="222" ht="14.25" customHeight="1">
      <c r="O222" s="2"/>
    </row>
    <row r="223" ht="14.25" customHeight="1">
      <c r="O223" s="2"/>
    </row>
    <row r="224" ht="14.25" customHeight="1">
      <c r="O224" s="2"/>
    </row>
    <row r="225" ht="14.25" customHeight="1">
      <c r="O225" s="2"/>
    </row>
    <row r="226" ht="14.25" customHeight="1">
      <c r="O226" s="2"/>
    </row>
    <row r="227" ht="14.25" customHeight="1">
      <c r="O227" s="2"/>
    </row>
    <row r="228" ht="14.25" customHeight="1">
      <c r="O228" s="2"/>
    </row>
    <row r="229" ht="14.25" customHeight="1">
      <c r="O229" s="2"/>
    </row>
    <row r="230" ht="14.25" customHeight="1">
      <c r="O230" s="2"/>
    </row>
    <row r="231" ht="14.25" customHeight="1">
      <c r="O231" s="2"/>
    </row>
    <row r="232" ht="14.25" customHeight="1">
      <c r="O232" s="2"/>
    </row>
    <row r="233" ht="14.25" customHeight="1">
      <c r="O233" s="2"/>
    </row>
    <row r="234" ht="14.25" customHeight="1">
      <c r="O234" s="2"/>
    </row>
    <row r="235" ht="14.25" customHeight="1">
      <c r="O235" s="2"/>
    </row>
    <row r="236" ht="14.25" customHeight="1">
      <c r="O236" s="2"/>
    </row>
    <row r="237" ht="14.25" customHeight="1">
      <c r="O237" s="2"/>
    </row>
    <row r="238" ht="14.25" customHeight="1">
      <c r="O238" s="2"/>
    </row>
    <row r="239" ht="14.25" customHeight="1">
      <c r="O239" s="2"/>
    </row>
    <row r="240" ht="14.25" customHeight="1">
      <c r="O240" s="2"/>
    </row>
    <row r="241" ht="14.25" customHeight="1">
      <c r="O241" s="2"/>
    </row>
    <row r="242" ht="14.25" customHeight="1">
      <c r="O242" s="2"/>
    </row>
    <row r="243" ht="14.25" customHeight="1">
      <c r="O243" s="2"/>
    </row>
    <row r="244" ht="14.25" customHeight="1">
      <c r="O244" s="2"/>
    </row>
    <row r="245" ht="14.25" customHeight="1">
      <c r="O245" s="2"/>
    </row>
    <row r="246" ht="14.25" customHeight="1">
      <c r="O246" s="2"/>
    </row>
    <row r="247" ht="14.25" customHeight="1">
      <c r="O247" s="2"/>
    </row>
    <row r="248" ht="14.25" customHeight="1">
      <c r="O248" s="2"/>
    </row>
    <row r="249" ht="14.25" customHeight="1">
      <c r="O249" s="2"/>
    </row>
    <row r="250" ht="14.25" customHeight="1">
      <c r="O250" s="2"/>
    </row>
    <row r="251" ht="14.25" customHeight="1">
      <c r="O251" s="2"/>
    </row>
    <row r="252" ht="14.25" customHeight="1">
      <c r="O252" s="2"/>
    </row>
    <row r="253" ht="14.25" customHeight="1">
      <c r="O253" s="2"/>
    </row>
    <row r="254" ht="14.25" customHeight="1">
      <c r="O254" s="2"/>
    </row>
    <row r="255" ht="14.25" customHeight="1">
      <c r="O255" s="2"/>
    </row>
    <row r="256" ht="14.25" customHeight="1">
      <c r="O256" s="2"/>
    </row>
    <row r="257" ht="14.25" customHeight="1">
      <c r="O257" s="2"/>
    </row>
    <row r="258" ht="14.25" customHeight="1">
      <c r="O258" s="2"/>
    </row>
    <row r="259" ht="14.25" customHeight="1">
      <c r="O259" s="2"/>
    </row>
    <row r="260" ht="14.25" customHeight="1">
      <c r="O260" s="2"/>
    </row>
    <row r="261" ht="14.25" customHeight="1">
      <c r="O261" s="2"/>
    </row>
    <row r="262" ht="14.25" customHeight="1">
      <c r="O262" s="2"/>
    </row>
    <row r="263" ht="14.25" customHeight="1">
      <c r="O263" s="2"/>
    </row>
    <row r="264" ht="14.25" customHeight="1">
      <c r="O264" s="2"/>
    </row>
    <row r="265" ht="14.25" customHeight="1">
      <c r="O265" s="2"/>
    </row>
    <row r="266" ht="14.25" customHeight="1">
      <c r="O266" s="2"/>
    </row>
    <row r="267" ht="14.25" customHeight="1">
      <c r="O267" s="2"/>
    </row>
    <row r="268" ht="14.25" customHeight="1">
      <c r="O268" s="2"/>
    </row>
    <row r="269" ht="14.25" customHeight="1">
      <c r="O269" s="2"/>
    </row>
    <row r="270" ht="14.25" customHeight="1">
      <c r="O270" s="2"/>
    </row>
    <row r="271" ht="14.25" customHeight="1">
      <c r="O271" s="2"/>
    </row>
    <row r="272" ht="14.25" customHeight="1">
      <c r="O272" s="2"/>
    </row>
    <row r="273" ht="14.25" customHeight="1">
      <c r="O273" s="2"/>
    </row>
    <row r="274" ht="14.25" customHeight="1">
      <c r="O274" s="2"/>
    </row>
    <row r="275" ht="14.25" customHeight="1">
      <c r="O275" s="2"/>
    </row>
    <row r="276" ht="14.25" customHeight="1">
      <c r="O276" s="2"/>
    </row>
    <row r="277" ht="14.25" customHeight="1">
      <c r="O277" s="2"/>
    </row>
    <row r="278" ht="14.25" customHeight="1">
      <c r="O278" s="2"/>
    </row>
    <row r="279" ht="14.25" customHeight="1">
      <c r="O279" s="2"/>
    </row>
    <row r="280" ht="14.25" customHeight="1">
      <c r="O280" s="2"/>
    </row>
    <row r="281" ht="14.25" customHeight="1">
      <c r="O281" s="2"/>
    </row>
    <row r="282" ht="14.25" customHeight="1">
      <c r="O282" s="2"/>
    </row>
    <row r="283" ht="14.25" customHeight="1">
      <c r="O283" s="2"/>
    </row>
    <row r="284" ht="14.25" customHeight="1">
      <c r="O284" s="2"/>
    </row>
    <row r="285" ht="14.25" customHeight="1">
      <c r="O285" s="2"/>
    </row>
    <row r="286" ht="14.25" customHeight="1">
      <c r="O286" s="2"/>
    </row>
    <row r="287" ht="14.25" customHeight="1">
      <c r="O287" s="2"/>
    </row>
    <row r="288" ht="14.25" customHeight="1">
      <c r="O288" s="2"/>
    </row>
    <row r="289" ht="14.25" customHeight="1">
      <c r="O289" s="2"/>
    </row>
    <row r="290" ht="14.25" customHeight="1">
      <c r="O290" s="2"/>
    </row>
    <row r="291" ht="14.25" customHeight="1">
      <c r="O291" s="2"/>
    </row>
    <row r="292" ht="14.25" customHeight="1">
      <c r="O292" s="2"/>
    </row>
    <row r="293" ht="14.25" customHeight="1">
      <c r="O293" s="2"/>
    </row>
    <row r="294" ht="14.25" customHeight="1">
      <c r="O294" s="2"/>
    </row>
    <row r="295" ht="14.25" customHeight="1">
      <c r="O295" s="2"/>
    </row>
    <row r="296" ht="14.25" customHeight="1">
      <c r="O296" s="2"/>
    </row>
    <row r="297" ht="14.25" customHeight="1">
      <c r="O297" s="2"/>
    </row>
    <row r="298" ht="14.25" customHeight="1">
      <c r="O298" s="2"/>
    </row>
    <row r="299" ht="14.25" customHeight="1">
      <c r="O299" s="2"/>
    </row>
    <row r="300" ht="14.25" customHeight="1">
      <c r="O300" s="2"/>
    </row>
    <row r="301" ht="14.25" customHeight="1">
      <c r="O301" s="2"/>
    </row>
    <row r="302" ht="14.25" customHeight="1">
      <c r="O302" s="2"/>
    </row>
    <row r="303" ht="14.25" customHeight="1">
      <c r="O303" s="2"/>
    </row>
    <row r="304" ht="14.25" customHeight="1">
      <c r="O304" s="2"/>
    </row>
    <row r="305" ht="14.25" customHeight="1">
      <c r="O305" s="2"/>
    </row>
    <row r="306" ht="14.25" customHeight="1">
      <c r="O306" s="2"/>
    </row>
    <row r="307" ht="14.25" customHeight="1">
      <c r="O307" s="2"/>
    </row>
    <row r="308" ht="14.25" customHeight="1">
      <c r="O308" s="2"/>
    </row>
    <row r="309" ht="14.25" customHeight="1">
      <c r="O309" s="2"/>
    </row>
    <row r="310" ht="14.25" customHeight="1">
      <c r="O310" s="2"/>
    </row>
    <row r="311" ht="14.25" customHeight="1">
      <c r="O311" s="2"/>
    </row>
    <row r="312" ht="14.25" customHeight="1">
      <c r="O312" s="2"/>
    </row>
    <row r="313" ht="14.25" customHeight="1">
      <c r="O313" s="2"/>
    </row>
    <row r="314" ht="14.25" customHeight="1">
      <c r="O314" s="2"/>
    </row>
    <row r="315" ht="14.25" customHeight="1">
      <c r="O315" s="2"/>
    </row>
    <row r="316" ht="14.25" customHeight="1">
      <c r="O316" s="2"/>
    </row>
    <row r="317" ht="14.25" customHeight="1">
      <c r="O317" s="2"/>
    </row>
    <row r="318" ht="14.25" customHeight="1">
      <c r="O318" s="2"/>
    </row>
    <row r="319" ht="14.25" customHeight="1">
      <c r="O319" s="2"/>
    </row>
    <row r="320" ht="14.25" customHeight="1">
      <c r="O320" s="2"/>
    </row>
    <row r="321" ht="14.25" customHeight="1">
      <c r="O321" s="2"/>
    </row>
    <row r="322" ht="14.25" customHeight="1">
      <c r="O322" s="2"/>
    </row>
    <row r="323" ht="14.25" customHeight="1">
      <c r="O323" s="2"/>
    </row>
    <row r="324" ht="14.25" customHeight="1">
      <c r="O324" s="2"/>
    </row>
    <row r="325" ht="14.25" customHeight="1">
      <c r="O325" s="2"/>
    </row>
    <row r="326" ht="14.25" customHeight="1">
      <c r="O326" s="2"/>
    </row>
    <row r="327" ht="14.25" customHeight="1">
      <c r="O327" s="2"/>
    </row>
    <row r="328" ht="14.25" customHeight="1">
      <c r="O328" s="2"/>
    </row>
    <row r="329" ht="14.25" customHeight="1">
      <c r="O329" s="2"/>
    </row>
    <row r="330" ht="14.25" customHeight="1">
      <c r="O330" s="2"/>
    </row>
    <row r="331" ht="14.25" customHeight="1">
      <c r="O331" s="2"/>
    </row>
    <row r="332" ht="14.25" customHeight="1">
      <c r="O332" s="2"/>
    </row>
    <row r="333" ht="14.25" customHeight="1">
      <c r="O333" s="2"/>
    </row>
    <row r="334" ht="14.25" customHeight="1">
      <c r="O334" s="2"/>
    </row>
    <row r="335" ht="14.25" customHeight="1">
      <c r="O335" s="2"/>
    </row>
    <row r="336" ht="14.25" customHeight="1">
      <c r="O336" s="2"/>
    </row>
    <row r="337" ht="14.25" customHeight="1">
      <c r="O337" s="2"/>
    </row>
    <row r="338" ht="14.25" customHeight="1">
      <c r="O338" s="2"/>
    </row>
    <row r="339" ht="14.25" customHeight="1">
      <c r="O339" s="2"/>
    </row>
    <row r="340" ht="14.25" customHeight="1">
      <c r="O340" s="2"/>
    </row>
    <row r="341" ht="14.25" customHeight="1">
      <c r="O341" s="2"/>
    </row>
    <row r="342" ht="14.25" customHeight="1">
      <c r="O342" s="2"/>
    </row>
    <row r="343" ht="14.25" customHeight="1">
      <c r="O343" s="2"/>
    </row>
    <row r="344" ht="14.25" customHeight="1">
      <c r="O344" s="2"/>
    </row>
    <row r="345" ht="14.25" customHeight="1">
      <c r="O345" s="2"/>
    </row>
    <row r="346" ht="14.25" customHeight="1">
      <c r="O346" s="2"/>
    </row>
    <row r="347" ht="14.25" customHeight="1">
      <c r="O347" s="2"/>
    </row>
    <row r="348" ht="14.25" customHeight="1">
      <c r="O348" s="2"/>
    </row>
    <row r="349" ht="14.25" customHeight="1">
      <c r="O349" s="2"/>
    </row>
    <row r="350" ht="14.25" customHeight="1">
      <c r="O350" s="2"/>
    </row>
    <row r="351" ht="14.25" customHeight="1">
      <c r="O351" s="2"/>
    </row>
    <row r="352" ht="14.25" customHeight="1">
      <c r="O352" s="2"/>
    </row>
    <row r="353" ht="14.25" customHeight="1">
      <c r="O353" s="2"/>
    </row>
    <row r="354" ht="14.25" customHeight="1">
      <c r="O354" s="2"/>
    </row>
    <row r="355" ht="14.25" customHeight="1">
      <c r="O355" s="2"/>
    </row>
    <row r="356" ht="14.25" customHeight="1">
      <c r="O356" s="2"/>
    </row>
    <row r="357" ht="14.25" customHeight="1">
      <c r="O357" s="2"/>
    </row>
    <row r="358" ht="14.25" customHeight="1">
      <c r="O358" s="2"/>
    </row>
    <row r="359" ht="14.25" customHeight="1">
      <c r="O359" s="2"/>
    </row>
    <row r="360" ht="14.25" customHeight="1">
      <c r="O360" s="2"/>
    </row>
    <row r="361" ht="14.25" customHeight="1">
      <c r="O361" s="2"/>
    </row>
    <row r="362" ht="14.25" customHeight="1">
      <c r="O362" s="2"/>
    </row>
    <row r="363" ht="14.25" customHeight="1">
      <c r="O363" s="2"/>
    </row>
    <row r="364" ht="14.25" customHeight="1">
      <c r="O364" s="2"/>
    </row>
    <row r="365" ht="14.25" customHeight="1">
      <c r="O365" s="2"/>
    </row>
    <row r="366" ht="14.25" customHeight="1">
      <c r="O366" s="2"/>
    </row>
    <row r="367" ht="14.25" customHeight="1">
      <c r="O367" s="2"/>
    </row>
    <row r="368" ht="14.25" customHeight="1">
      <c r="O368" s="2"/>
    </row>
    <row r="369" ht="14.25" customHeight="1">
      <c r="O369" s="2"/>
    </row>
    <row r="370" ht="14.25" customHeight="1">
      <c r="O370" s="2"/>
    </row>
    <row r="371" ht="14.25" customHeight="1">
      <c r="O371" s="2"/>
    </row>
    <row r="372" ht="14.25" customHeight="1">
      <c r="O372" s="2"/>
    </row>
    <row r="373" ht="14.25" customHeight="1">
      <c r="O373" s="2"/>
    </row>
    <row r="374" ht="14.25" customHeight="1">
      <c r="O374" s="2"/>
    </row>
    <row r="375" ht="14.25" customHeight="1">
      <c r="O375" s="2"/>
    </row>
    <row r="376" ht="14.25" customHeight="1">
      <c r="O376" s="2"/>
    </row>
    <row r="377" ht="14.25" customHeight="1">
      <c r="O377" s="2"/>
    </row>
    <row r="378" ht="14.25" customHeight="1">
      <c r="O378" s="2"/>
    </row>
    <row r="379" ht="14.25" customHeight="1">
      <c r="O379" s="2"/>
    </row>
    <row r="380" ht="14.25" customHeight="1">
      <c r="O380" s="2"/>
    </row>
    <row r="381" ht="14.25" customHeight="1">
      <c r="O381" s="2"/>
    </row>
    <row r="382" ht="14.25" customHeight="1">
      <c r="O382" s="2"/>
    </row>
    <row r="383" ht="14.25" customHeight="1">
      <c r="O383" s="2"/>
    </row>
    <row r="384" ht="14.25" customHeight="1">
      <c r="O384" s="2"/>
    </row>
    <row r="385" ht="14.25" customHeight="1">
      <c r="O385" s="2"/>
    </row>
    <row r="386" ht="14.25" customHeight="1">
      <c r="O386" s="2"/>
    </row>
    <row r="387" ht="14.25" customHeight="1">
      <c r="O387" s="2"/>
    </row>
    <row r="388" ht="14.25" customHeight="1">
      <c r="O388" s="2"/>
    </row>
    <row r="389" ht="14.25" customHeight="1">
      <c r="O389" s="2"/>
    </row>
    <row r="390" ht="14.25" customHeight="1">
      <c r="O390" s="2"/>
    </row>
    <row r="391" ht="14.25" customHeight="1">
      <c r="O391" s="2"/>
    </row>
    <row r="392" ht="14.25" customHeight="1">
      <c r="O392" s="2"/>
    </row>
    <row r="393" ht="14.25" customHeight="1">
      <c r="O393" s="2"/>
    </row>
    <row r="394" ht="14.25" customHeight="1">
      <c r="O394" s="2"/>
    </row>
    <row r="395" ht="14.25" customHeight="1">
      <c r="O395" s="2"/>
    </row>
    <row r="396" ht="14.25" customHeight="1">
      <c r="O396" s="2"/>
    </row>
    <row r="397" ht="14.25" customHeight="1">
      <c r="O397" s="2"/>
    </row>
    <row r="398" ht="14.25" customHeight="1">
      <c r="O398" s="2"/>
    </row>
    <row r="399" ht="14.25" customHeight="1">
      <c r="O399" s="2"/>
    </row>
    <row r="400" ht="14.25" customHeight="1">
      <c r="O400" s="2"/>
    </row>
    <row r="401" ht="14.25" customHeight="1">
      <c r="O401" s="2"/>
    </row>
    <row r="402" ht="14.25" customHeight="1">
      <c r="O402" s="2"/>
    </row>
    <row r="403" ht="14.25" customHeight="1">
      <c r="O403" s="2"/>
    </row>
    <row r="404" ht="14.25" customHeight="1">
      <c r="O404" s="2"/>
    </row>
    <row r="405" ht="14.25" customHeight="1">
      <c r="O405" s="2"/>
    </row>
    <row r="406" ht="14.25" customHeight="1">
      <c r="O406" s="2"/>
    </row>
    <row r="407" ht="14.25" customHeight="1">
      <c r="O407" s="2"/>
    </row>
    <row r="408" ht="14.25" customHeight="1">
      <c r="O408" s="2"/>
    </row>
    <row r="409" ht="14.25" customHeight="1">
      <c r="O409" s="2"/>
    </row>
    <row r="410" ht="14.25" customHeight="1">
      <c r="O410" s="2"/>
    </row>
    <row r="411" ht="14.25" customHeight="1">
      <c r="O411" s="2"/>
    </row>
    <row r="412" ht="14.25" customHeight="1">
      <c r="O412" s="2"/>
    </row>
    <row r="413" ht="14.25" customHeight="1">
      <c r="O413" s="2"/>
    </row>
    <row r="414" ht="14.25" customHeight="1">
      <c r="O414" s="2"/>
    </row>
    <row r="415" ht="14.25" customHeight="1">
      <c r="O415" s="2"/>
    </row>
    <row r="416" ht="14.25" customHeight="1">
      <c r="O416" s="2"/>
    </row>
    <row r="417" ht="14.25" customHeight="1">
      <c r="O417" s="2"/>
    </row>
    <row r="418" ht="14.25" customHeight="1">
      <c r="O418" s="2"/>
    </row>
    <row r="419" ht="14.25" customHeight="1">
      <c r="O419" s="2"/>
    </row>
    <row r="420" ht="14.25" customHeight="1">
      <c r="O420" s="2"/>
    </row>
    <row r="421" ht="14.25" customHeight="1">
      <c r="O421" s="2"/>
    </row>
    <row r="422" ht="14.25" customHeight="1">
      <c r="O422" s="2"/>
    </row>
    <row r="423" ht="14.25" customHeight="1">
      <c r="O423" s="2"/>
    </row>
    <row r="424" ht="14.25" customHeight="1">
      <c r="O424" s="2"/>
    </row>
    <row r="425" ht="14.25" customHeight="1">
      <c r="O425" s="2"/>
    </row>
    <row r="426" ht="14.25" customHeight="1">
      <c r="O426" s="2"/>
    </row>
    <row r="427" ht="14.25" customHeight="1">
      <c r="O427" s="2"/>
    </row>
    <row r="428" ht="14.25" customHeight="1">
      <c r="O428" s="2"/>
    </row>
    <row r="429" ht="14.25" customHeight="1">
      <c r="O429" s="2"/>
    </row>
    <row r="430" ht="14.25" customHeight="1">
      <c r="O430" s="2"/>
    </row>
    <row r="431" ht="14.25" customHeight="1">
      <c r="O431" s="2"/>
    </row>
    <row r="432" ht="14.25" customHeight="1">
      <c r="O432" s="2"/>
    </row>
    <row r="433" ht="14.25" customHeight="1">
      <c r="O433" s="2"/>
    </row>
    <row r="434" ht="14.25" customHeight="1">
      <c r="O434" s="2"/>
    </row>
    <row r="435" ht="14.25" customHeight="1">
      <c r="O435" s="2"/>
    </row>
    <row r="436" ht="14.25" customHeight="1">
      <c r="O436" s="2"/>
    </row>
    <row r="437" ht="14.25" customHeight="1">
      <c r="O437" s="2"/>
    </row>
    <row r="438" ht="14.25" customHeight="1">
      <c r="O438" s="2"/>
    </row>
    <row r="439" ht="14.25" customHeight="1">
      <c r="O439" s="2"/>
    </row>
    <row r="440" ht="14.25" customHeight="1">
      <c r="O440" s="2"/>
    </row>
    <row r="441" ht="14.25" customHeight="1">
      <c r="O441" s="2"/>
    </row>
    <row r="442" ht="14.25" customHeight="1">
      <c r="O442" s="2"/>
    </row>
    <row r="443" ht="14.25" customHeight="1">
      <c r="O443" s="2"/>
    </row>
    <row r="444" ht="14.25" customHeight="1">
      <c r="O444" s="2"/>
    </row>
    <row r="445" ht="14.25" customHeight="1">
      <c r="O445" s="2"/>
    </row>
    <row r="446" ht="14.25" customHeight="1">
      <c r="O446" s="2"/>
    </row>
    <row r="447" ht="14.25" customHeight="1">
      <c r="O447" s="2"/>
    </row>
    <row r="448" ht="14.25" customHeight="1">
      <c r="O448" s="2"/>
    </row>
    <row r="449" ht="14.25" customHeight="1">
      <c r="O449" s="2"/>
    </row>
    <row r="450" ht="14.25" customHeight="1">
      <c r="O450" s="2"/>
    </row>
    <row r="451" ht="14.25" customHeight="1">
      <c r="O451" s="2"/>
    </row>
    <row r="452" ht="14.25" customHeight="1">
      <c r="O452" s="2"/>
    </row>
    <row r="453" ht="14.25" customHeight="1">
      <c r="O453" s="2"/>
    </row>
    <row r="454" ht="14.25" customHeight="1">
      <c r="O454" s="2"/>
    </row>
    <row r="455" ht="14.25" customHeight="1">
      <c r="O455" s="2"/>
    </row>
    <row r="456" ht="14.25" customHeight="1">
      <c r="O456" s="2"/>
    </row>
    <row r="457" ht="14.25" customHeight="1">
      <c r="O457" s="2"/>
    </row>
    <row r="458" ht="14.25" customHeight="1">
      <c r="O458" s="2"/>
    </row>
    <row r="459" ht="14.25" customHeight="1">
      <c r="O459" s="2"/>
    </row>
    <row r="460" ht="14.25" customHeight="1">
      <c r="O460" s="2"/>
    </row>
    <row r="461" ht="14.25" customHeight="1">
      <c r="O461" s="2"/>
    </row>
    <row r="462" ht="14.25" customHeight="1">
      <c r="O462" s="2"/>
    </row>
    <row r="463" ht="14.25" customHeight="1">
      <c r="O463" s="2"/>
    </row>
    <row r="464" ht="14.25" customHeight="1">
      <c r="O464" s="2"/>
    </row>
    <row r="465" ht="14.25" customHeight="1">
      <c r="O465" s="2"/>
    </row>
    <row r="466" ht="14.25" customHeight="1">
      <c r="O466" s="2"/>
    </row>
    <row r="467" ht="14.25" customHeight="1">
      <c r="O467" s="2"/>
    </row>
    <row r="468" ht="14.25" customHeight="1">
      <c r="O468" s="2"/>
    </row>
    <row r="469" ht="14.25" customHeight="1">
      <c r="O469" s="2"/>
    </row>
    <row r="470" ht="14.25" customHeight="1">
      <c r="O470" s="2"/>
    </row>
    <row r="471" ht="14.25" customHeight="1">
      <c r="O471" s="2"/>
    </row>
    <row r="472" ht="14.25" customHeight="1">
      <c r="O472" s="2"/>
    </row>
    <row r="473" ht="14.25" customHeight="1">
      <c r="O473" s="2"/>
    </row>
    <row r="474" ht="14.25" customHeight="1">
      <c r="O474" s="2"/>
    </row>
    <row r="475" ht="14.25" customHeight="1">
      <c r="O475" s="2"/>
    </row>
    <row r="476" ht="14.25" customHeight="1">
      <c r="O476" s="2"/>
    </row>
    <row r="477" ht="14.25" customHeight="1">
      <c r="O477" s="2"/>
    </row>
    <row r="478" ht="14.25" customHeight="1">
      <c r="O478" s="2"/>
    </row>
    <row r="479" ht="14.25" customHeight="1">
      <c r="O479" s="2"/>
    </row>
    <row r="480" ht="14.25" customHeight="1">
      <c r="O480" s="2"/>
    </row>
    <row r="481" ht="14.25" customHeight="1">
      <c r="O481" s="2"/>
    </row>
    <row r="482" ht="14.25" customHeight="1">
      <c r="O482" s="2"/>
    </row>
    <row r="483" ht="14.25" customHeight="1">
      <c r="O483" s="2"/>
    </row>
    <row r="484" ht="14.25" customHeight="1">
      <c r="O484" s="2"/>
    </row>
    <row r="485" ht="14.25" customHeight="1">
      <c r="O485" s="2"/>
    </row>
    <row r="486" ht="14.25" customHeight="1">
      <c r="O486" s="2"/>
    </row>
    <row r="487" ht="14.25" customHeight="1">
      <c r="O487" s="2"/>
    </row>
    <row r="488" ht="14.25" customHeight="1">
      <c r="O488" s="2"/>
    </row>
    <row r="489" ht="14.25" customHeight="1">
      <c r="O489" s="2"/>
    </row>
    <row r="490" ht="14.25" customHeight="1">
      <c r="O490" s="2"/>
    </row>
    <row r="491" ht="14.25" customHeight="1">
      <c r="O491" s="2"/>
    </row>
    <row r="492" ht="14.25" customHeight="1">
      <c r="O492" s="2"/>
    </row>
    <row r="493" ht="14.25" customHeight="1">
      <c r="O493" s="2"/>
    </row>
    <row r="494" ht="14.25" customHeight="1">
      <c r="O494" s="2"/>
    </row>
    <row r="495" ht="14.25" customHeight="1">
      <c r="O495" s="2"/>
    </row>
    <row r="496" ht="14.25" customHeight="1">
      <c r="O496" s="2"/>
    </row>
    <row r="497" ht="14.25" customHeight="1">
      <c r="O497" s="2"/>
    </row>
    <row r="498" ht="14.25" customHeight="1">
      <c r="O498" s="2"/>
    </row>
    <row r="499" ht="14.25" customHeight="1">
      <c r="O499" s="2"/>
    </row>
    <row r="500" ht="14.25" customHeight="1">
      <c r="O500" s="2"/>
    </row>
    <row r="501" ht="14.25" customHeight="1">
      <c r="O501" s="2"/>
    </row>
    <row r="502" ht="14.25" customHeight="1">
      <c r="O502" s="2"/>
    </row>
    <row r="503" ht="14.25" customHeight="1">
      <c r="O503" s="2"/>
    </row>
    <row r="504" ht="14.25" customHeight="1">
      <c r="O504" s="2"/>
    </row>
    <row r="505" ht="14.25" customHeight="1">
      <c r="O505" s="2"/>
    </row>
    <row r="506" ht="14.25" customHeight="1">
      <c r="O506" s="2"/>
    </row>
    <row r="507" ht="14.25" customHeight="1">
      <c r="O507" s="2"/>
    </row>
    <row r="508" ht="14.25" customHeight="1">
      <c r="O508" s="2"/>
    </row>
    <row r="509" ht="14.25" customHeight="1">
      <c r="O509" s="2"/>
    </row>
    <row r="510" ht="14.25" customHeight="1">
      <c r="O510" s="2"/>
    </row>
    <row r="511" ht="14.25" customHeight="1">
      <c r="O511" s="2"/>
    </row>
    <row r="512" ht="14.25" customHeight="1">
      <c r="O512" s="2"/>
    </row>
    <row r="513" ht="14.25" customHeight="1">
      <c r="O513" s="2"/>
    </row>
    <row r="514" ht="14.25" customHeight="1">
      <c r="O514" s="2"/>
    </row>
    <row r="515" ht="14.25" customHeight="1">
      <c r="O515" s="2"/>
    </row>
    <row r="516" ht="14.25" customHeight="1">
      <c r="O516" s="2"/>
    </row>
    <row r="517" ht="14.25" customHeight="1">
      <c r="O517" s="2"/>
    </row>
    <row r="518" ht="14.25" customHeight="1">
      <c r="O518" s="2"/>
    </row>
    <row r="519" ht="14.25" customHeight="1">
      <c r="O519" s="2"/>
    </row>
    <row r="520" ht="14.25" customHeight="1">
      <c r="O520" s="2"/>
    </row>
    <row r="521" ht="14.25" customHeight="1">
      <c r="O521" s="2"/>
    </row>
    <row r="522" ht="14.25" customHeight="1">
      <c r="O522" s="2"/>
    </row>
    <row r="523" ht="14.25" customHeight="1">
      <c r="O523" s="2"/>
    </row>
    <row r="524" ht="14.25" customHeight="1">
      <c r="O524" s="2"/>
    </row>
    <row r="525" ht="14.25" customHeight="1">
      <c r="O525" s="2"/>
    </row>
    <row r="526" ht="14.25" customHeight="1">
      <c r="O526" s="2"/>
    </row>
    <row r="527" ht="14.25" customHeight="1">
      <c r="O527" s="2"/>
    </row>
    <row r="528" ht="14.25" customHeight="1">
      <c r="O528" s="2"/>
    </row>
    <row r="529" ht="14.25" customHeight="1">
      <c r="O529" s="2"/>
    </row>
    <row r="530" ht="14.25" customHeight="1">
      <c r="O530" s="2"/>
    </row>
    <row r="531" ht="14.25" customHeight="1">
      <c r="O531" s="2"/>
    </row>
    <row r="532" ht="14.25" customHeight="1">
      <c r="O532" s="2"/>
    </row>
    <row r="533" ht="14.25" customHeight="1">
      <c r="O533" s="2"/>
    </row>
    <row r="534" ht="14.25" customHeight="1">
      <c r="O534" s="2"/>
    </row>
    <row r="535" ht="14.25" customHeight="1">
      <c r="O535" s="2"/>
    </row>
    <row r="536" ht="14.25" customHeight="1">
      <c r="O536" s="2"/>
    </row>
    <row r="537" ht="14.25" customHeight="1">
      <c r="O537" s="2"/>
    </row>
    <row r="538" ht="14.25" customHeight="1">
      <c r="O538" s="2"/>
    </row>
    <row r="539" ht="14.25" customHeight="1">
      <c r="O539" s="2"/>
    </row>
    <row r="540" ht="14.25" customHeight="1">
      <c r="O540" s="2"/>
    </row>
    <row r="541" ht="14.25" customHeight="1">
      <c r="O541" s="2"/>
    </row>
    <row r="542" ht="14.25" customHeight="1">
      <c r="O542" s="2"/>
    </row>
    <row r="543" ht="14.25" customHeight="1">
      <c r="O543" s="2"/>
    </row>
    <row r="544" ht="14.25" customHeight="1">
      <c r="O544" s="2"/>
    </row>
    <row r="545" ht="14.25" customHeight="1">
      <c r="O545" s="2"/>
    </row>
    <row r="546" ht="14.25" customHeight="1">
      <c r="O546" s="2"/>
    </row>
    <row r="547" ht="14.25" customHeight="1">
      <c r="O547" s="2"/>
    </row>
    <row r="548" ht="14.25" customHeight="1">
      <c r="O548" s="2"/>
    </row>
    <row r="549" ht="14.25" customHeight="1">
      <c r="O549" s="2"/>
    </row>
    <row r="550" ht="14.25" customHeight="1">
      <c r="O550" s="2"/>
    </row>
    <row r="551" ht="14.25" customHeight="1">
      <c r="O551" s="2"/>
    </row>
    <row r="552" ht="14.25" customHeight="1">
      <c r="O552" s="2"/>
    </row>
    <row r="553" ht="14.25" customHeight="1">
      <c r="O553" s="2"/>
    </row>
    <row r="554" ht="14.25" customHeight="1">
      <c r="O554" s="2"/>
    </row>
    <row r="555" ht="14.25" customHeight="1">
      <c r="O555" s="2"/>
    </row>
    <row r="556" ht="14.25" customHeight="1">
      <c r="O556" s="2"/>
    </row>
    <row r="557" ht="14.25" customHeight="1">
      <c r="O557" s="2"/>
    </row>
    <row r="558" ht="14.25" customHeight="1">
      <c r="O558" s="2"/>
    </row>
    <row r="559" ht="14.25" customHeight="1">
      <c r="O559" s="2"/>
    </row>
    <row r="560" ht="14.25" customHeight="1">
      <c r="O560" s="2"/>
    </row>
    <row r="561" ht="14.25" customHeight="1">
      <c r="O561" s="2"/>
    </row>
    <row r="562" ht="14.25" customHeight="1">
      <c r="O562" s="2"/>
    </row>
    <row r="563" ht="14.25" customHeight="1">
      <c r="O563" s="2"/>
    </row>
    <row r="564" ht="14.25" customHeight="1">
      <c r="O564" s="2"/>
    </row>
    <row r="565" ht="14.25" customHeight="1">
      <c r="O565" s="2"/>
    </row>
    <row r="566" ht="14.25" customHeight="1">
      <c r="O566" s="2"/>
    </row>
    <row r="567" ht="14.25" customHeight="1">
      <c r="O567" s="2"/>
    </row>
    <row r="568" ht="14.25" customHeight="1">
      <c r="O568" s="2"/>
    </row>
    <row r="569" ht="14.25" customHeight="1">
      <c r="O569" s="2"/>
    </row>
    <row r="570" ht="14.25" customHeight="1">
      <c r="O570" s="2"/>
    </row>
    <row r="571" ht="14.25" customHeight="1">
      <c r="O571" s="2"/>
    </row>
    <row r="572" ht="14.25" customHeight="1">
      <c r="O572" s="2"/>
    </row>
    <row r="573" ht="14.25" customHeight="1">
      <c r="O573" s="2"/>
    </row>
    <row r="574" ht="14.25" customHeight="1">
      <c r="O574" s="2"/>
    </row>
    <row r="575" ht="14.25" customHeight="1">
      <c r="O575" s="2"/>
    </row>
    <row r="576" ht="14.25" customHeight="1">
      <c r="O576" s="2"/>
    </row>
    <row r="577" ht="14.25" customHeight="1">
      <c r="O577" s="2"/>
    </row>
    <row r="578" ht="14.25" customHeight="1">
      <c r="O578" s="2"/>
    </row>
    <row r="579" ht="14.25" customHeight="1">
      <c r="O579" s="2"/>
    </row>
    <row r="580" ht="14.25" customHeight="1">
      <c r="O580" s="2"/>
    </row>
    <row r="581" ht="14.25" customHeight="1">
      <c r="O581" s="2"/>
    </row>
    <row r="582" ht="14.25" customHeight="1">
      <c r="O582" s="2"/>
    </row>
    <row r="583" ht="14.25" customHeight="1">
      <c r="O583" s="2"/>
    </row>
    <row r="584" ht="14.25" customHeight="1">
      <c r="O584" s="2"/>
    </row>
    <row r="585" ht="14.25" customHeight="1">
      <c r="O585" s="2"/>
    </row>
    <row r="586" ht="14.25" customHeight="1">
      <c r="O586" s="2"/>
    </row>
    <row r="587" ht="14.25" customHeight="1">
      <c r="O587" s="2"/>
    </row>
    <row r="588" ht="14.25" customHeight="1">
      <c r="O588" s="2"/>
    </row>
    <row r="589" ht="14.25" customHeight="1">
      <c r="O589" s="2"/>
    </row>
    <row r="590" ht="14.25" customHeight="1">
      <c r="O590" s="2"/>
    </row>
    <row r="591" ht="14.25" customHeight="1">
      <c r="O591" s="2"/>
    </row>
    <row r="592" ht="14.25" customHeight="1">
      <c r="O592" s="2"/>
    </row>
    <row r="593" ht="14.25" customHeight="1">
      <c r="O593" s="2"/>
    </row>
    <row r="594" ht="14.25" customHeight="1">
      <c r="O594" s="2"/>
    </row>
    <row r="595" ht="14.25" customHeight="1">
      <c r="O595" s="2"/>
    </row>
    <row r="596" ht="14.25" customHeight="1">
      <c r="O596" s="2"/>
    </row>
    <row r="597" ht="14.25" customHeight="1">
      <c r="O597" s="2"/>
    </row>
    <row r="598" ht="14.25" customHeight="1">
      <c r="O598" s="2"/>
    </row>
    <row r="599" ht="14.25" customHeight="1">
      <c r="O599" s="2"/>
    </row>
    <row r="600" ht="14.25" customHeight="1">
      <c r="O600" s="2"/>
    </row>
    <row r="601" ht="14.25" customHeight="1">
      <c r="O601" s="2"/>
    </row>
    <row r="602" ht="14.25" customHeight="1">
      <c r="O602" s="2"/>
    </row>
    <row r="603" ht="14.25" customHeight="1">
      <c r="O603" s="2"/>
    </row>
    <row r="604" ht="14.25" customHeight="1">
      <c r="O604" s="2"/>
    </row>
    <row r="605" ht="14.25" customHeight="1">
      <c r="O605" s="2"/>
    </row>
    <row r="606" ht="14.25" customHeight="1">
      <c r="O606" s="2"/>
    </row>
    <row r="607" ht="14.25" customHeight="1">
      <c r="O607" s="2"/>
    </row>
    <row r="608" ht="14.25" customHeight="1">
      <c r="O608" s="2"/>
    </row>
    <row r="609" ht="14.25" customHeight="1">
      <c r="O609" s="2"/>
    </row>
    <row r="610" ht="14.25" customHeight="1">
      <c r="O610" s="2"/>
    </row>
    <row r="611" ht="14.25" customHeight="1">
      <c r="O611" s="2"/>
    </row>
    <row r="612" ht="14.25" customHeight="1">
      <c r="O612" s="2"/>
    </row>
    <row r="613" ht="14.25" customHeight="1">
      <c r="O613" s="2"/>
    </row>
    <row r="614" ht="14.25" customHeight="1">
      <c r="O614" s="2"/>
    </row>
    <row r="615" ht="14.25" customHeight="1">
      <c r="O615" s="2"/>
    </row>
    <row r="616" ht="14.25" customHeight="1">
      <c r="O616" s="2"/>
    </row>
    <row r="617" ht="14.25" customHeight="1">
      <c r="O617" s="2"/>
    </row>
    <row r="618" ht="14.25" customHeight="1">
      <c r="O618" s="2"/>
    </row>
    <row r="619" ht="14.25" customHeight="1">
      <c r="O619" s="2"/>
    </row>
    <row r="620" ht="14.25" customHeight="1">
      <c r="O620" s="2"/>
    </row>
    <row r="621" ht="14.25" customHeight="1">
      <c r="O621" s="2"/>
    </row>
    <row r="622" ht="14.25" customHeight="1">
      <c r="O622" s="2"/>
    </row>
    <row r="623" ht="14.25" customHeight="1">
      <c r="O623" s="2"/>
    </row>
    <row r="624" ht="14.25" customHeight="1">
      <c r="O624" s="2"/>
    </row>
    <row r="625" ht="14.25" customHeight="1">
      <c r="O625" s="2"/>
    </row>
    <row r="626" ht="14.25" customHeight="1">
      <c r="O626" s="2"/>
    </row>
    <row r="627" ht="14.25" customHeight="1">
      <c r="O627" s="2"/>
    </row>
    <row r="628" ht="14.25" customHeight="1">
      <c r="O628" s="2"/>
    </row>
    <row r="629" ht="14.25" customHeight="1">
      <c r="O629" s="2"/>
    </row>
    <row r="630" ht="14.25" customHeight="1">
      <c r="O630" s="2"/>
    </row>
    <row r="631" ht="14.25" customHeight="1">
      <c r="O631" s="2"/>
    </row>
    <row r="632" ht="14.25" customHeight="1">
      <c r="O632" s="2"/>
    </row>
    <row r="633" ht="14.25" customHeight="1">
      <c r="O633" s="2"/>
    </row>
    <row r="634" ht="14.25" customHeight="1">
      <c r="O634" s="2"/>
    </row>
    <row r="635" ht="14.25" customHeight="1">
      <c r="O635" s="2"/>
    </row>
    <row r="636" ht="14.25" customHeight="1">
      <c r="O636" s="2"/>
    </row>
    <row r="637" ht="14.25" customHeight="1">
      <c r="O637" s="2"/>
    </row>
    <row r="638" ht="14.25" customHeight="1">
      <c r="O638" s="2"/>
    </row>
    <row r="639" ht="14.25" customHeight="1">
      <c r="O639" s="2"/>
    </row>
    <row r="640" ht="14.25" customHeight="1">
      <c r="O640" s="2"/>
    </row>
    <row r="641" ht="14.25" customHeight="1">
      <c r="O641" s="2"/>
    </row>
    <row r="642" ht="14.25" customHeight="1">
      <c r="O642" s="2"/>
    </row>
    <row r="643" ht="14.25" customHeight="1">
      <c r="O643" s="2"/>
    </row>
    <row r="644" ht="14.25" customHeight="1">
      <c r="O644" s="2"/>
    </row>
    <row r="645" ht="14.25" customHeight="1">
      <c r="O645" s="2"/>
    </row>
    <row r="646" ht="14.25" customHeight="1">
      <c r="O646" s="2"/>
    </row>
    <row r="647" ht="14.25" customHeight="1">
      <c r="O647" s="2"/>
    </row>
    <row r="648" ht="14.25" customHeight="1">
      <c r="O648" s="2"/>
    </row>
    <row r="649" ht="14.25" customHeight="1">
      <c r="O649" s="2"/>
    </row>
    <row r="650" ht="14.25" customHeight="1">
      <c r="O650" s="2"/>
    </row>
    <row r="651" ht="14.25" customHeight="1">
      <c r="O651" s="2"/>
    </row>
    <row r="652" ht="14.25" customHeight="1">
      <c r="O652" s="2"/>
    </row>
    <row r="653" ht="14.25" customHeight="1">
      <c r="O653" s="2"/>
    </row>
    <row r="654" ht="14.25" customHeight="1">
      <c r="O654" s="2"/>
    </row>
    <row r="655" ht="14.25" customHeight="1">
      <c r="O655" s="2"/>
    </row>
    <row r="656" ht="14.25" customHeight="1">
      <c r="O656" s="2"/>
    </row>
    <row r="657" ht="14.25" customHeight="1">
      <c r="O657" s="2"/>
    </row>
    <row r="658" ht="14.25" customHeight="1">
      <c r="O658" s="2"/>
    </row>
    <row r="659" ht="14.25" customHeight="1">
      <c r="O659" s="2"/>
    </row>
    <row r="660" ht="14.25" customHeight="1">
      <c r="O660" s="2"/>
    </row>
    <row r="661" ht="14.25" customHeight="1">
      <c r="O661" s="2"/>
    </row>
    <row r="662" ht="14.25" customHeight="1">
      <c r="O662" s="2"/>
    </row>
    <row r="663" ht="14.25" customHeight="1">
      <c r="O663" s="2"/>
    </row>
    <row r="664" ht="14.25" customHeight="1">
      <c r="O664" s="2"/>
    </row>
    <row r="665" ht="14.25" customHeight="1">
      <c r="O665" s="2"/>
    </row>
    <row r="666" ht="14.25" customHeight="1">
      <c r="O666" s="2"/>
    </row>
    <row r="667" ht="14.25" customHeight="1">
      <c r="O667" s="2"/>
    </row>
    <row r="668" ht="14.25" customHeight="1">
      <c r="O668" s="2"/>
    </row>
    <row r="669" ht="14.25" customHeight="1">
      <c r="O669" s="2"/>
    </row>
    <row r="670" ht="14.25" customHeight="1">
      <c r="O670" s="2"/>
    </row>
    <row r="671" ht="14.25" customHeight="1">
      <c r="O671" s="2"/>
    </row>
    <row r="672" ht="14.25" customHeight="1">
      <c r="O672" s="2"/>
    </row>
    <row r="673" ht="14.25" customHeight="1">
      <c r="O673" s="2"/>
    </row>
    <row r="674" ht="14.25" customHeight="1">
      <c r="O674" s="2"/>
    </row>
    <row r="675" ht="14.25" customHeight="1">
      <c r="O675" s="2"/>
    </row>
    <row r="676" ht="14.25" customHeight="1">
      <c r="O676" s="2"/>
    </row>
    <row r="677" ht="14.25" customHeight="1">
      <c r="O677" s="2"/>
    </row>
    <row r="678" ht="14.25" customHeight="1">
      <c r="O678" s="2"/>
    </row>
    <row r="679" ht="14.25" customHeight="1">
      <c r="O679" s="2"/>
    </row>
    <row r="680" ht="14.25" customHeight="1">
      <c r="O680" s="2"/>
    </row>
    <row r="681" ht="14.25" customHeight="1">
      <c r="O681" s="2"/>
    </row>
    <row r="682" ht="14.25" customHeight="1">
      <c r="O682" s="2"/>
    </row>
    <row r="683" ht="14.25" customHeight="1">
      <c r="O683" s="2"/>
    </row>
    <row r="684" ht="14.25" customHeight="1">
      <c r="O684" s="2"/>
    </row>
    <row r="685" ht="14.25" customHeight="1">
      <c r="O685" s="2"/>
    </row>
    <row r="686" ht="14.25" customHeight="1">
      <c r="O686" s="2"/>
    </row>
    <row r="687" ht="14.25" customHeight="1">
      <c r="O687" s="2"/>
    </row>
    <row r="688" ht="14.25" customHeight="1">
      <c r="O688" s="2"/>
    </row>
    <row r="689" ht="14.25" customHeight="1">
      <c r="O689" s="2"/>
    </row>
    <row r="690" ht="14.25" customHeight="1">
      <c r="O690" s="2"/>
    </row>
    <row r="691" ht="14.25" customHeight="1">
      <c r="O691" s="2"/>
    </row>
    <row r="692" ht="14.25" customHeight="1">
      <c r="O692" s="2"/>
    </row>
    <row r="693" ht="14.25" customHeight="1">
      <c r="O693" s="2"/>
    </row>
    <row r="694" ht="14.25" customHeight="1">
      <c r="O694" s="2"/>
    </row>
    <row r="695" ht="14.25" customHeight="1">
      <c r="O695" s="2"/>
    </row>
    <row r="696" ht="14.25" customHeight="1">
      <c r="O696" s="2"/>
    </row>
    <row r="697" ht="14.25" customHeight="1">
      <c r="O697" s="2"/>
    </row>
    <row r="698" ht="14.25" customHeight="1">
      <c r="O698" s="2"/>
    </row>
    <row r="699" ht="14.25" customHeight="1">
      <c r="O699" s="2"/>
    </row>
    <row r="700" ht="14.25" customHeight="1">
      <c r="O700" s="2"/>
    </row>
    <row r="701" ht="14.25" customHeight="1">
      <c r="O701" s="2"/>
    </row>
    <row r="702" ht="14.25" customHeight="1">
      <c r="O702" s="2"/>
    </row>
    <row r="703" ht="14.25" customHeight="1">
      <c r="O703" s="2"/>
    </row>
    <row r="704" ht="14.25" customHeight="1">
      <c r="O704" s="2"/>
    </row>
    <row r="705" ht="14.25" customHeight="1">
      <c r="O705" s="2"/>
    </row>
    <row r="706" ht="14.25" customHeight="1">
      <c r="O706" s="2"/>
    </row>
    <row r="707" ht="14.25" customHeight="1">
      <c r="O707" s="2"/>
    </row>
    <row r="708" ht="14.25" customHeight="1">
      <c r="O708" s="2"/>
    </row>
    <row r="709" ht="14.25" customHeight="1">
      <c r="O709" s="2"/>
    </row>
    <row r="710" ht="14.25" customHeight="1">
      <c r="O710" s="2"/>
    </row>
    <row r="711" ht="14.25" customHeight="1">
      <c r="O711" s="2"/>
    </row>
    <row r="712" ht="14.25" customHeight="1">
      <c r="O712" s="2"/>
    </row>
    <row r="713" ht="14.25" customHeight="1">
      <c r="O713" s="2"/>
    </row>
    <row r="714" ht="14.25" customHeight="1">
      <c r="O714" s="2"/>
    </row>
    <row r="715" ht="14.25" customHeight="1">
      <c r="O715" s="2"/>
    </row>
    <row r="716" ht="14.25" customHeight="1">
      <c r="O716" s="2"/>
    </row>
    <row r="717" ht="14.25" customHeight="1">
      <c r="O717" s="2"/>
    </row>
    <row r="718" ht="14.25" customHeight="1">
      <c r="O718" s="2"/>
    </row>
    <row r="719" ht="14.25" customHeight="1">
      <c r="O719" s="2"/>
    </row>
    <row r="720" ht="14.25" customHeight="1">
      <c r="O720" s="2"/>
    </row>
    <row r="721" ht="14.25" customHeight="1">
      <c r="O721" s="2"/>
    </row>
    <row r="722" ht="14.25" customHeight="1">
      <c r="O722" s="2"/>
    </row>
    <row r="723" ht="14.25" customHeight="1">
      <c r="O723" s="2"/>
    </row>
    <row r="724" ht="14.25" customHeight="1">
      <c r="O724" s="2"/>
    </row>
    <row r="725" ht="14.25" customHeight="1">
      <c r="O725" s="2"/>
    </row>
    <row r="726" ht="14.25" customHeight="1">
      <c r="O726" s="2"/>
    </row>
    <row r="727" ht="14.25" customHeight="1">
      <c r="O727" s="2"/>
    </row>
    <row r="728" ht="14.25" customHeight="1">
      <c r="O728" s="2"/>
    </row>
    <row r="729" ht="14.25" customHeight="1">
      <c r="O729" s="2"/>
    </row>
    <row r="730" ht="14.25" customHeight="1">
      <c r="O730" s="2"/>
    </row>
    <row r="731" ht="14.25" customHeight="1">
      <c r="O731" s="2"/>
    </row>
    <row r="732" ht="14.25" customHeight="1">
      <c r="O732" s="2"/>
    </row>
    <row r="733" ht="14.25" customHeight="1">
      <c r="O733" s="2"/>
    </row>
    <row r="734" ht="14.25" customHeight="1">
      <c r="O734" s="2"/>
    </row>
    <row r="735" ht="14.25" customHeight="1">
      <c r="O735" s="2"/>
    </row>
    <row r="736" ht="14.25" customHeight="1">
      <c r="O736" s="2"/>
    </row>
    <row r="737" ht="14.25" customHeight="1">
      <c r="O737" s="2"/>
    </row>
    <row r="738" ht="14.25" customHeight="1">
      <c r="O738" s="2"/>
    </row>
    <row r="739" ht="14.25" customHeight="1">
      <c r="O739" s="2"/>
    </row>
    <row r="740" ht="14.25" customHeight="1">
      <c r="O740" s="2"/>
    </row>
    <row r="741" ht="14.25" customHeight="1">
      <c r="O741" s="2"/>
    </row>
    <row r="742" ht="14.25" customHeight="1">
      <c r="O742" s="2"/>
    </row>
    <row r="743" ht="14.25" customHeight="1">
      <c r="O743" s="2"/>
    </row>
    <row r="744" ht="14.25" customHeight="1">
      <c r="O744" s="2"/>
    </row>
    <row r="745" ht="14.25" customHeight="1">
      <c r="O745" s="2"/>
    </row>
    <row r="746" ht="14.25" customHeight="1">
      <c r="O746" s="2"/>
    </row>
    <row r="747" ht="14.25" customHeight="1">
      <c r="O747" s="2"/>
    </row>
    <row r="748" ht="14.25" customHeight="1">
      <c r="O748" s="2"/>
    </row>
    <row r="749" ht="14.25" customHeight="1">
      <c r="O749" s="2"/>
    </row>
    <row r="750" ht="14.25" customHeight="1">
      <c r="O750" s="2"/>
    </row>
    <row r="751" ht="14.25" customHeight="1">
      <c r="O751" s="2"/>
    </row>
    <row r="752" ht="14.25" customHeight="1">
      <c r="O752" s="2"/>
    </row>
    <row r="753" ht="14.25" customHeight="1">
      <c r="O753" s="2"/>
    </row>
    <row r="754" ht="14.25" customHeight="1">
      <c r="O754" s="2"/>
    </row>
    <row r="755" ht="14.25" customHeight="1">
      <c r="O755" s="2"/>
    </row>
    <row r="756" ht="14.25" customHeight="1">
      <c r="O756" s="2"/>
    </row>
    <row r="757" ht="14.25" customHeight="1">
      <c r="O757" s="2"/>
    </row>
    <row r="758" ht="14.25" customHeight="1">
      <c r="O758" s="2"/>
    </row>
    <row r="759" ht="14.25" customHeight="1">
      <c r="O759" s="2"/>
    </row>
    <row r="760" ht="14.25" customHeight="1">
      <c r="O760" s="2"/>
    </row>
    <row r="761" ht="14.25" customHeight="1">
      <c r="O761" s="2"/>
    </row>
    <row r="762" ht="14.25" customHeight="1">
      <c r="O762" s="2"/>
    </row>
    <row r="763" ht="14.25" customHeight="1">
      <c r="O763" s="2"/>
    </row>
    <row r="764" ht="14.25" customHeight="1">
      <c r="O764" s="2"/>
    </row>
    <row r="765" ht="14.25" customHeight="1">
      <c r="O765" s="2"/>
    </row>
    <row r="766" ht="14.25" customHeight="1">
      <c r="O766" s="2"/>
    </row>
    <row r="767" ht="14.25" customHeight="1">
      <c r="O767" s="2"/>
    </row>
    <row r="768" ht="14.25" customHeight="1">
      <c r="O768" s="2"/>
    </row>
    <row r="769" ht="14.25" customHeight="1">
      <c r="O769" s="2"/>
    </row>
    <row r="770" ht="14.25" customHeight="1">
      <c r="O770" s="2"/>
    </row>
    <row r="771" ht="14.25" customHeight="1">
      <c r="O771" s="2"/>
    </row>
    <row r="772" ht="14.25" customHeight="1">
      <c r="O772" s="2"/>
    </row>
    <row r="773" ht="14.25" customHeight="1">
      <c r="O773" s="2"/>
    </row>
    <row r="774" ht="14.25" customHeight="1">
      <c r="O774" s="2"/>
    </row>
    <row r="775" ht="14.25" customHeight="1">
      <c r="O775" s="2"/>
    </row>
    <row r="776" ht="14.25" customHeight="1">
      <c r="O776" s="2"/>
    </row>
    <row r="777" ht="14.25" customHeight="1">
      <c r="O777" s="2"/>
    </row>
    <row r="778" ht="14.25" customHeight="1">
      <c r="O778" s="2"/>
    </row>
    <row r="779" ht="14.25" customHeight="1">
      <c r="O779" s="2"/>
    </row>
    <row r="780" ht="14.25" customHeight="1">
      <c r="O780" s="2"/>
    </row>
    <row r="781" ht="14.25" customHeight="1">
      <c r="O781" s="2"/>
    </row>
    <row r="782" ht="14.25" customHeight="1">
      <c r="O782" s="2"/>
    </row>
    <row r="783" ht="14.25" customHeight="1">
      <c r="O783" s="2"/>
    </row>
    <row r="784" ht="14.25" customHeight="1">
      <c r="O784" s="2"/>
    </row>
    <row r="785" ht="14.25" customHeight="1">
      <c r="O785" s="2"/>
    </row>
    <row r="786" ht="14.25" customHeight="1">
      <c r="O786" s="2"/>
    </row>
    <row r="787" ht="14.25" customHeight="1">
      <c r="O787" s="2"/>
    </row>
    <row r="788" ht="14.25" customHeight="1">
      <c r="O788" s="2"/>
    </row>
    <row r="789" ht="14.25" customHeight="1">
      <c r="O789" s="2"/>
    </row>
    <row r="790" ht="14.25" customHeight="1">
      <c r="O790" s="2"/>
    </row>
    <row r="791" ht="14.25" customHeight="1">
      <c r="O791" s="2"/>
    </row>
    <row r="792" ht="14.25" customHeight="1">
      <c r="O792" s="2"/>
    </row>
    <row r="793" ht="14.25" customHeight="1">
      <c r="O793" s="2"/>
    </row>
    <row r="794" ht="14.25" customHeight="1">
      <c r="O794" s="2"/>
    </row>
    <row r="795" ht="14.25" customHeight="1">
      <c r="O795" s="2"/>
    </row>
    <row r="796" ht="14.25" customHeight="1">
      <c r="O796" s="2"/>
    </row>
    <row r="797" ht="14.25" customHeight="1">
      <c r="O797" s="2"/>
    </row>
    <row r="798" ht="14.25" customHeight="1">
      <c r="O798" s="2"/>
    </row>
    <row r="799" ht="14.25" customHeight="1">
      <c r="O799" s="2"/>
    </row>
    <row r="800" ht="14.25" customHeight="1">
      <c r="O800" s="2"/>
    </row>
    <row r="801" ht="14.25" customHeight="1">
      <c r="O801" s="2"/>
    </row>
    <row r="802" ht="14.25" customHeight="1">
      <c r="O802" s="2"/>
    </row>
    <row r="803" ht="14.25" customHeight="1">
      <c r="O803" s="2"/>
    </row>
    <row r="804" ht="14.25" customHeight="1">
      <c r="O804" s="2"/>
    </row>
    <row r="805" ht="14.25" customHeight="1">
      <c r="O805" s="2"/>
    </row>
    <row r="806" ht="14.25" customHeight="1">
      <c r="O806" s="2"/>
    </row>
    <row r="807" ht="14.25" customHeight="1">
      <c r="O807" s="2"/>
    </row>
    <row r="808" ht="14.25" customHeight="1">
      <c r="O808" s="2"/>
    </row>
    <row r="809" ht="14.25" customHeight="1">
      <c r="O809" s="2"/>
    </row>
    <row r="810" ht="14.25" customHeight="1">
      <c r="O810" s="2"/>
    </row>
    <row r="811" ht="14.25" customHeight="1">
      <c r="O811" s="2"/>
    </row>
    <row r="812" ht="14.25" customHeight="1">
      <c r="O812" s="2"/>
    </row>
    <row r="813" ht="14.25" customHeight="1">
      <c r="O813" s="2"/>
    </row>
    <row r="814" ht="14.25" customHeight="1">
      <c r="O814" s="2"/>
    </row>
    <row r="815" ht="14.25" customHeight="1">
      <c r="O815" s="2"/>
    </row>
    <row r="816" ht="14.25" customHeight="1">
      <c r="O816" s="2"/>
    </row>
    <row r="817" ht="14.25" customHeight="1">
      <c r="O817" s="2"/>
    </row>
    <row r="818" ht="14.25" customHeight="1">
      <c r="O818" s="2"/>
    </row>
    <row r="819" ht="14.25" customHeight="1">
      <c r="O819" s="2"/>
    </row>
    <row r="820" ht="14.25" customHeight="1">
      <c r="O820" s="2"/>
    </row>
    <row r="821" ht="14.25" customHeight="1">
      <c r="O821" s="2"/>
    </row>
    <row r="822" ht="14.25" customHeight="1">
      <c r="O822" s="2"/>
    </row>
    <row r="823" ht="14.25" customHeight="1">
      <c r="O823" s="2"/>
    </row>
    <row r="824" ht="14.25" customHeight="1">
      <c r="O824" s="2"/>
    </row>
    <row r="825" ht="14.25" customHeight="1">
      <c r="O825" s="2"/>
    </row>
    <row r="826" ht="14.25" customHeight="1">
      <c r="O826" s="2"/>
    </row>
    <row r="827" ht="14.25" customHeight="1">
      <c r="O827" s="2"/>
    </row>
    <row r="828" ht="14.25" customHeight="1">
      <c r="O828" s="2"/>
    </row>
    <row r="829" ht="14.25" customHeight="1">
      <c r="O829" s="2"/>
    </row>
    <row r="830" ht="14.25" customHeight="1">
      <c r="O830" s="2"/>
    </row>
    <row r="831" ht="14.25" customHeight="1">
      <c r="O831" s="2"/>
    </row>
    <row r="832" ht="14.25" customHeight="1">
      <c r="O832" s="2"/>
    </row>
    <row r="833" ht="14.25" customHeight="1">
      <c r="O833" s="2"/>
    </row>
    <row r="834" ht="14.25" customHeight="1">
      <c r="O834" s="2"/>
    </row>
    <row r="835" ht="14.25" customHeight="1">
      <c r="O835" s="2"/>
    </row>
    <row r="836" ht="14.25" customHeight="1">
      <c r="O836" s="2"/>
    </row>
    <row r="837" ht="14.25" customHeight="1">
      <c r="O837" s="2"/>
    </row>
    <row r="838" ht="14.25" customHeight="1">
      <c r="O838" s="2"/>
    </row>
    <row r="839" ht="14.25" customHeight="1">
      <c r="O839" s="2"/>
    </row>
    <row r="840" ht="14.25" customHeight="1">
      <c r="O840" s="2"/>
    </row>
    <row r="841" ht="14.25" customHeight="1">
      <c r="O841" s="2"/>
    </row>
    <row r="842" ht="14.25" customHeight="1">
      <c r="O842" s="2"/>
    </row>
    <row r="843" ht="14.25" customHeight="1">
      <c r="O843" s="2"/>
    </row>
    <row r="844" ht="14.25" customHeight="1">
      <c r="O844" s="2"/>
    </row>
    <row r="845" ht="14.25" customHeight="1">
      <c r="O845" s="2"/>
    </row>
    <row r="846" ht="14.25" customHeight="1">
      <c r="O846" s="2"/>
    </row>
    <row r="847" ht="14.25" customHeight="1">
      <c r="O847" s="2"/>
    </row>
    <row r="848" ht="14.25" customHeight="1">
      <c r="O848" s="2"/>
    </row>
    <row r="849" ht="14.25" customHeight="1">
      <c r="O849" s="2"/>
    </row>
    <row r="850" ht="14.25" customHeight="1">
      <c r="O850" s="2"/>
    </row>
    <row r="851" ht="14.25" customHeight="1">
      <c r="O851" s="2"/>
    </row>
    <row r="852" ht="14.25" customHeight="1">
      <c r="O852" s="2"/>
    </row>
    <row r="853" ht="14.25" customHeight="1">
      <c r="O853" s="2"/>
    </row>
    <row r="854" ht="14.25" customHeight="1">
      <c r="O854" s="2"/>
    </row>
    <row r="855" ht="14.25" customHeight="1">
      <c r="O855" s="2"/>
    </row>
    <row r="856" ht="14.25" customHeight="1">
      <c r="O856" s="2"/>
    </row>
    <row r="857" ht="14.25" customHeight="1">
      <c r="O857" s="2"/>
    </row>
    <row r="858" ht="14.25" customHeight="1">
      <c r="O858" s="2"/>
    </row>
    <row r="859" ht="14.25" customHeight="1">
      <c r="O859" s="2"/>
    </row>
    <row r="860" ht="14.25" customHeight="1">
      <c r="O860" s="2"/>
    </row>
    <row r="861" ht="14.25" customHeight="1">
      <c r="O861" s="2"/>
    </row>
    <row r="862" ht="14.25" customHeight="1">
      <c r="O862" s="2"/>
    </row>
    <row r="863" ht="14.25" customHeight="1">
      <c r="O863" s="2"/>
    </row>
    <row r="864" ht="14.25" customHeight="1">
      <c r="O864" s="2"/>
    </row>
    <row r="865" ht="14.25" customHeight="1">
      <c r="O865" s="2"/>
    </row>
    <row r="866" ht="14.25" customHeight="1">
      <c r="O866" s="2"/>
    </row>
    <row r="867" ht="14.25" customHeight="1">
      <c r="O867" s="2"/>
    </row>
    <row r="868" ht="14.25" customHeight="1">
      <c r="O868" s="2"/>
    </row>
    <row r="869" ht="14.25" customHeight="1">
      <c r="O869" s="2"/>
    </row>
    <row r="870" ht="14.25" customHeight="1">
      <c r="O870" s="2"/>
    </row>
    <row r="871" ht="14.25" customHeight="1">
      <c r="O871" s="2"/>
    </row>
    <row r="872" ht="14.25" customHeight="1">
      <c r="O872" s="2"/>
    </row>
    <row r="873" ht="14.25" customHeight="1">
      <c r="O873" s="2"/>
    </row>
    <row r="874" ht="14.25" customHeight="1">
      <c r="O874" s="2"/>
    </row>
    <row r="875" ht="14.25" customHeight="1">
      <c r="O875" s="2"/>
    </row>
    <row r="876" ht="14.25" customHeight="1">
      <c r="O876" s="2"/>
    </row>
    <row r="877" ht="14.25" customHeight="1">
      <c r="O877" s="2"/>
    </row>
    <row r="878" ht="14.25" customHeight="1">
      <c r="O878" s="2"/>
    </row>
    <row r="879" ht="14.25" customHeight="1">
      <c r="O879" s="2"/>
    </row>
    <row r="880" ht="14.25" customHeight="1">
      <c r="O880" s="2"/>
    </row>
    <row r="881" ht="14.25" customHeight="1">
      <c r="O881" s="2"/>
    </row>
    <row r="882" ht="14.25" customHeight="1">
      <c r="O882" s="2"/>
    </row>
    <row r="883" ht="14.25" customHeight="1">
      <c r="O883" s="2"/>
    </row>
    <row r="884" ht="14.25" customHeight="1">
      <c r="O884" s="2"/>
    </row>
    <row r="885" ht="14.25" customHeight="1">
      <c r="O885" s="2"/>
    </row>
    <row r="886" ht="14.25" customHeight="1">
      <c r="O886" s="2"/>
    </row>
    <row r="887" ht="14.25" customHeight="1">
      <c r="O887" s="2"/>
    </row>
    <row r="888" ht="14.25" customHeight="1">
      <c r="O888" s="2"/>
    </row>
    <row r="889" ht="14.25" customHeight="1">
      <c r="O889" s="2"/>
    </row>
    <row r="890" ht="14.25" customHeight="1">
      <c r="O890" s="2"/>
    </row>
    <row r="891" ht="14.25" customHeight="1">
      <c r="O891" s="2"/>
    </row>
    <row r="892" ht="14.25" customHeight="1">
      <c r="O892" s="2"/>
    </row>
    <row r="893" ht="14.25" customHeight="1">
      <c r="O893" s="2"/>
    </row>
    <row r="894" ht="14.25" customHeight="1">
      <c r="O894" s="2"/>
    </row>
    <row r="895" ht="14.25" customHeight="1">
      <c r="O895" s="2"/>
    </row>
    <row r="896" ht="14.25" customHeight="1">
      <c r="O896" s="2"/>
    </row>
    <row r="897" ht="14.25" customHeight="1">
      <c r="O897" s="2"/>
    </row>
    <row r="898" ht="14.25" customHeight="1">
      <c r="O898" s="2"/>
    </row>
    <row r="899" ht="14.25" customHeight="1">
      <c r="O899" s="2"/>
    </row>
    <row r="900" ht="14.25" customHeight="1">
      <c r="O900" s="2"/>
    </row>
    <row r="901" ht="14.25" customHeight="1">
      <c r="O901" s="2"/>
    </row>
    <row r="902" ht="14.25" customHeight="1">
      <c r="O902" s="2"/>
    </row>
    <row r="903" ht="14.25" customHeight="1">
      <c r="O903" s="2"/>
    </row>
    <row r="904" ht="14.25" customHeight="1">
      <c r="O904" s="2"/>
    </row>
    <row r="905" ht="14.25" customHeight="1">
      <c r="O905" s="2"/>
    </row>
    <row r="906" ht="14.25" customHeight="1">
      <c r="O906" s="2"/>
    </row>
    <row r="907" ht="14.25" customHeight="1">
      <c r="O907" s="2"/>
    </row>
    <row r="908" ht="14.25" customHeight="1">
      <c r="O908" s="2"/>
    </row>
    <row r="909" ht="14.25" customHeight="1">
      <c r="O909" s="2"/>
    </row>
    <row r="910" ht="14.25" customHeight="1">
      <c r="O910" s="2"/>
    </row>
    <row r="911" ht="14.25" customHeight="1">
      <c r="O911" s="2"/>
    </row>
    <row r="912" ht="14.25" customHeight="1">
      <c r="O912" s="2"/>
    </row>
    <row r="913" ht="14.25" customHeight="1">
      <c r="O913" s="2"/>
    </row>
    <row r="914" ht="14.25" customHeight="1">
      <c r="O914" s="2"/>
    </row>
    <row r="915" ht="14.25" customHeight="1">
      <c r="O915" s="2"/>
    </row>
    <row r="916" ht="14.25" customHeight="1">
      <c r="O916" s="2"/>
    </row>
    <row r="917" ht="14.25" customHeight="1">
      <c r="O917" s="2"/>
    </row>
    <row r="918" ht="14.25" customHeight="1">
      <c r="O918" s="2"/>
    </row>
    <row r="919" ht="14.25" customHeight="1">
      <c r="O919" s="2"/>
    </row>
    <row r="920" ht="14.25" customHeight="1">
      <c r="O920" s="2"/>
    </row>
    <row r="921" ht="14.25" customHeight="1">
      <c r="O921" s="2"/>
    </row>
    <row r="922" ht="14.25" customHeight="1">
      <c r="O922" s="2"/>
    </row>
    <row r="923" ht="14.25" customHeight="1">
      <c r="O923" s="2"/>
    </row>
    <row r="924" ht="14.25" customHeight="1">
      <c r="O924" s="2"/>
    </row>
    <row r="925" ht="14.25" customHeight="1">
      <c r="O925" s="2"/>
    </row>
    <row r="926" ht="14.25" customHeight="1">
      <c r="O926" s="2"/>
    </row>
    <row r="927" ht="14.25" customHeight="1">
      <c r="O927" s="2"/>
    </row>
    <row r="928" ht="14.25" customHeight="1">
      <c r="O928" s="2"/>
    </row>
    <row r="929" ht="14.25" customHeight="1">
      <c r="O929" s="2"/>
    </row>
    <row r="930" ht="14.25" customHeight="1">
      <c r="O930" s="2"/>
    </row>
    <row r="931" ht="14.25" customHeight="1">
      <c r="O931" s="2"/>
    </row>
    <row r="932" ht="14.25" customHeight="1">
      <c r="O932" s="2"/>
    </row>
    <row r="933" ht="14.25" customHeight="1">
      <c r="O933" s="2"/>
    </row>
    <row r="934" ht="14.25" customHeight="1">
      <c r="O934" s="2"/>
    </row>
    <row r="935" ht="14.25" customHeight="1">
      <c r="O935" s="2"/>
    </row>
    <row r="936" ht="14.25" customHeight="1">
      <c r="O936" s="2"/>
    </row>
    <row r="937" ht="14.25" customHeight="1">
      <c r="O937" s="2"/>
    </row>
    <row r="938" ht="14.25" customHeight="1">
      <c r="O938" s="2"/>
    </row>
    <row r="939" ht="14.25" customHeight="1">
      <c r="O939" s="2"/>
    </row>
    <row r="940" ht="14.25" customHeight="1">
      <c r="O940" s="2"/>
    </row>
    <row r="941" ht="14.25" customHeight="1">
      <c r="O941" s="2"/>
    </row>
    <row r="942" ht="14.25" customHeight="1">
      <c r="O942" s="2"/>
    </row>
    <row r="943" ht="14.25" customHeight="1">
      <c r="O943" s="2"/>
    </row>
    <row r="944" ht="14.25" customHeight="1">
      <c r="O944" s="2"/>
    </row>
    <row r="945" ht="14.25" customHeight="1">
      <c r="O945" s="2"/>
    </row>
    <row r="946" ht="14.25" customHeight="1">
      <c r="O946" s="2"/>
    </row>
    <row r="947" ht="14.25" customHeight="1">
      <c r="O947" s="2"/>
    </row>
    <row r="948" ht="14.25" customHeight="1">
      <c r="O948" s="2"/>
    </row>
    <row r="949" ht="14.25" customHeight="1">
      <c r="O949" s="2"/>
    </row>
    <row r="950" ht="14.25" customHeight="1">
      <c r="O950" s="2"/>
    </row>
    <row r="951" ht="14.25" customHeight="1">
      <c r="O951" s="2"/>
    </row>
    <row r="952" ht="14.25" customHeight="1">
      <c r="O952" s="2"/>
    </row>
    <row r="953" ht="14.25" customHeight="1">
      <c r="O953" s="2"/>
    </row>
    <row r="954" ht="14.25" customHeight="1">
      <c r="O954" s="2"/>
    </row>
    <row r="955" ht="14.25" customHeight="1">
      <c r="O955" s="2"/>
    </row>
    <row r="956" ht="14.25" customHeight="1">
      <c r="O956" s="2"/>
    </row>
    <row r="957" ht="14.25" customHeight="1">
      <c r="O957" s="2"/>
    </row>
    <row r="958" ht="14.25" customHeight="1">
      <c r="O958" s="2"/>
    </row>
    <row r="959" ht="14.25" customHeight="1">
      <c r="O959" s="2"/>
    </row>
    <row r="960" ht="14.25" customHeight="1">
      <c r="O960" s="2"/>
    </row>
    <row r="961" ht="14.25" customHeight="1">
      <c r="O961" s="2"/>
    </row>
    <row r="962" ht="14.25" customHeight="1">
      <c r="O962" s="2"/>
    </row>
    <row r="963" ht="14.25" customHeight="1">
      <c r="O963" s="2"/>
    </row>
    <row r="964" ht="14.25" customHeight="1">
      <c r="O964" s="2"/>
    </row>
    <row r="965" ht="14.25" customHeight="1">
      <c r="O965" s="2"/>
    </row>
    <row r="966" ht="14.25" customHeight="1">
      <c r="O966" s="2"/>
    </row>
    <row r="967" ht="14.25" customHeight="1">
      <c r="O967" s="2"/>
    </row>
    <row r="968" ht="14.25" customHeight="1">
      <c r="O968" s="2"/>
    </row>
    <row r="969" ht="14.25" customHeight="1">
      <c r="O969" s="2"/>
    </row>
    <row r="970" ht="14.25" customHeight="1">
      <c r="O970" s="2"/>
    </row>
    <row r="971" ht="14.25" customHeight="1">
      <c r="O971" s="2"/>
    </row>
    <row r="972" ht="14.25" customHeight="1">
      <c r="O972" s="2"/>
    </row>
    <row r="973" ht="14.25" customHeight="1">
      <c r="O973" s="2"/>
    </row>
    <row r="974" ht="14.25" customHeight="1">
      <c r="O974" s="2"/>
    </row>
    <row r="975" ht="14.25" customHeight="1">
      <c r="O975" s="2"/>
    </row>
    <row r="976" ht="14.25" customHeight="1">
      <c r="O976" s="2"/>
    </row>
    <row r="977" ht="14.25" customHeight="1">
      <c r="O977" s="2"/>
    </row>
    <row r="978" ht="14.25" customHeight="1">
      <c r="O978" s="2"/>
    </row>
    <row r="979" ht="14.25" customHeight="1">
      <c r="O979" s="2"/>
    </row>
    <row r="980" ht="14.25" customHeight="1">
      <c r="O980" s="2"/>
    </row>
    <row r="981" ht="14.25" customHeight="1">
      <c r="O981" s="2"/>
    </row>
    <row r="982" ht="14.25" customHeight="1">
      <c r="O982" s="2"/>
    </row>
    <row r="983" ht="14.25" customHeight="1">
      <c r="O983" s="2"/>
    </row>
    <row r="984" ht="14.25" customHeight="1">
      <c r="O984" s="2"/>
    </row>
    <row r="985" ht="14.25" customHeight="1">
      <c r="O985" s="2"/>
    </row>
    <row r="986" ht="14.25" customHeight="1">
      <c r="O986" s="2"/>
    </row>
    <row r="987" ht="14.25" customHeight="1">
      <c r="O987" s="2"/>
    </row>
    <row r="988" ht="14.25" customHeight="1">
      <c r="O988" s="2"/>
    </row>
    <row r="989" ht="14.25" customHeight="1">
      <c r="O989" s="2"/>
    </row>
    <row r="990" ht="14.25" customHeight="1">
      <c r="O990" s="2"/>
    </row>
    <row r="991" ht="14.25" customHeight="1">
      <c r="O991" s="2"/>
    </row>
    <row r="992" ht="14.25" customHeight="1">
      <c r="O992" s="2"/>
    </row>
    <row r="993" ht="14.25" customHeight="1">
      <c r="O993" s="2"/>
    </row>
    <row r="994" ht="14.25" customHeight="1">
      <c r="O994" s="2"/>
    </row>
    <row r="995" ht="14.25" customHeight="1">
      <c r="O995" s="2"/>
    </row>
    <row r="996" ht="14.25" customHeight="1">
      <c r="O996" s="2"/>
    </row>
    <row r="997" ht="14.25" customHeight="1">
      <c r="O997" s="2"/>
    </row>
    <row r="998" ht="14.25" customHeight="1">
      <c r="O998" s="2"/>
    </row>
    <row r="999" ht="14.25" customHeight="1">
      <c r="O999" s="2"/>
    </row>
  </sheetData>
  <mergeCells count="8">
    <mergeCell ref="B2:E2"/>
    <mergeCell ref="I2:L2"/>
    <mergeCell ref="Q2:X2"/>
    <mergeCell ref="R3:S3"/>
    <mergeCell ref="U3:V3"/>
    <mergeCell ref="X3:Y3"/>
    <mergeCell ref="R16:T16"/>
    <mergeCell ref="V16:Y16"/>
  </mergeCells>
  <conditionalFormatting sqref="F3:F27 M3:M27">
    <cfRule type="beginsWith" dxfId="0" priority="1" operator="beginsWith" text="Pravda">
      <formula>LEFT((F3),LEN("Pravda"))=("Pravda")</formula>
    </cfRule>
  </conditionalFormatting>
  <conditionalFormatting sqref="F3:F27 M3:M27">
    <cfRule type="cellIs" dxfId="0" priority="2" operator="equal">
      <formula>0</formula>
    </cfRule>
  </conditionalFormatting>
  <conditionalFormatting sqref="R34:Y43">
    <cfRule type="colorScale" priority="3">
      <colorScale>
        <cfvo type="min"/>
        <cfvo type="percentile" val="50"/>
        <cfvo type="max"/>
        <color rgb="FFFF0000"/>
        <color rgb="FF000000"/>
        <color rgb="FF00FF00"/>
      </colorScale>
    </cfRule>
  </conditionalFormatting>
  <printOptions/>
  <pageMargins bottom="0.787401575" footer="0.0" header="0.0" left="0.7" right="0.7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1.0"/>
    <col customWidth="1" min="3" max="3" width="18.0"/>
    <col customWidth="1" min="4" max="4" width="6.43"/>
    <col customWidth="1" min="5" max="5" width="8.29"/>
    <col customWidth="1" min="6" max="6" width="6.29"/>
    <col customWidth="1" min="7" max="7" width="5.57"/>
    <col customWidth="1" min="8" max="8" width="8.71"/>
    <col customWidth="1" min="11" max="11" width="8.71"/>
    <col customWidth="1" min="12" max="12" width="22.29"/>
    <col customWidth="1" min="13" max="13" width="22.57"/>
    <col customWidth="1" min="14" max="14" width="5.29"/>
  </cols>
  <sheetData>
    <row r="1" ht="14.25" customHeight="1"/>
    <row r="2" ht="14.25" customHeight="1">
      <c r="A2" s="130"/>
      <c r="B2" s="130"/>
      <c r="C2" s="132" t="s">
        <v>92</v>
      </c>
      <c r="H2" s="130"/>
      <c r="J2" s="133" t="s">
        <v>93</v>
      </c>
    </row>
    <row r="3" ht="14.25" customHeight="1">
      <c r="C3" s="130"/>
      <c r="D3" s="130" t="s">
        <v>94</v>
      </c>
      <c r="E3" s="130" t="s">
        <v>95</v>
      </c>
      <c r="F3" s="130" t="s">
        <v>96</v>
      </c>
      <c r="G3" s="130" t="s">
        <v>97</v>
      </c>
      <c r="H3" s="130" t="s">
        <v>98</v>
      </c>
      <c r="J3" s="130"/>
      <c r="K3" s="130" t="s">
        <v>94</v>
      </c>
      <c r="L3" s="134" t="s">
        <v>99</v>
      </c>
      <c r="M3" s="134" t="s">
        <v>98</v>
      </c>
      <c r="N3" s="134" t="s">
        <v>100</v>
      </c>
    </row>
    <row r="4" ht="14.25" customHeight="1">
      <c r="B4" s="135">
        <v>1.0</v>
      </c>
      <c r="C4" s="126" t="s">
        <v>64</v>
      </c>
      <c r="D4" s="118" t="s">
        <v>50</v>
      </c>
      <c r="E4" s="118" t="s">
        <v>101</v>
      </c>
      <c r="F4" s="118">
        <v>33.0</v>
      </c>
      <c r="G4" s="2">
        <f t="shared" ref="G4:G13" si="1">F4/3</f>
        <v>11</v>
      </c>
      <c r="H4" s="118" t="s">
        <v>102</v>
      </c>
      <c r="J4" s="2" t="s">
        <v>64</v>
      </c>
      <c r="K4" s="118" t="s">
        <v>103</v>
      </c>
      <c r="L4" s="118" t="s">
        <v>104</v>
      </c>
      <c r="M4" s="136" t="s">
        <v>105</v>
      </c>
      <c r="N4" s="135">
        <v>28.0</v>
      </c>
    </row>
    <row r="5" ht="14.25" customHeight="1">
      <c r="B5" s="135">
        <v>2.0</v>
      </c>
      <c r="C5" s="2" t="s">
        <v>67</v>
      </c>
      <c r="D5" s="118" t="s">
        <v>41</v>
      </c>
      <c r="E5" s="118" t="s">
        <v>106</v>
      </c>
      <c r="F5" s="118">
        <v>24.0</v>
      </c>
      <c r="G5" s="2">
        <f t="shared" si="1"/>
        <v>8</v>
      </c>
      <c r="H5" s="118" t="s">
        <v>107</v>
      </c>
      <c r="J5" s="2" t="s">
        <v>67</v>
      </c>
      <c r="K5" s="118" t="s">
        <v>108</v>
      </c>
      <c r="L5" s="135" t="s">
        <v>109</v>
      </c>
      <c r="M5" s="136" t="s">
        <v>110</v>
      </c>
      <c r="N5" s="135">
        <v>51.0</v>
      </c>
    </row>
    <row r="6" ht="14.25" customHeight="1">
      <c r="B6" s="135">
        <v>3.0</v>
      </c>
      <c r="C6" s="2" t="s">
        <v>69</v>
      </c>
      <c r="D6" s="118" t="s">
        <v>70</v>
      </c>
      <c r="E6" s="2" t="s">
        <v>111</v>
      </c>
      <c r="F6" s="118">
        <v>18.0</v>
      </c>
      <c r="G6" s="2">
        <f t="shared" si="1"/>
        <v>6</v>
      </c>
      <c r="H6" s="118" t="s">
        <v>112</v>
      </c>
      <c r="J6" s="2" t="s">
        <v>69</v>
      </c>
      <c r="K6" s="135" t="s">
        <v>113</v>
      </c>
      <c r="L6" s="135" t="s">
        <v>114</v>
      </c>
      <c r="M6" s="136" t="s">
        <v>115</v>
      </c>
      <c r="N6" s="135">
        <v>42.0</v>
      </c>
    </row>
    <row r="7" ht="14.25" customHeight="1">
      <c r="B7" s="135">
        <v>4.0</v>
      </c>
      <c r="C7" s="2" t="s">
        <v>71</v>
      </c>
      <c r="D7" s="118" t="s">
        <v>43</v>
      </c>
      <c r="E7" s="2" t="s">
        <v>106</v>
      </c>
      <c r="F7" s="118">
        <v>60.0</v>
      </c>
      <c r="G7" s="2">
        <f t="shared" si="1"/>
        <v>20</v>
      </c>
      <c r="H7" s="118" t="s">
        <v>116</v>
      </c>
      <c r="J7" s="2" t="s">
        <v>71</v>
      </c>
      <c r="K7" s="118" t="s">
        <v>117</v>
      </c>
      <c r="L7" s="135" t="s">
        <v>118</v>
      </c>
      <c r="M7" s="136" t="s">
        <v>119</v>
      </c>
      <c r="N7" s="135">
        <v>27.0</v>
      </c>
    </row>
    <row r="8" ht="14.25" customHeight="1">
      <c r="B8" s="135">
        <v>5.0</v>
      </c>
      <c r="C8" s="2" t="s">
        <v>72</v>
      </c>
      <c r="D8" s="118" t="s">
        <v>42</v>
      </c>
      <c r="E8" s="118" t="s">
        <v>106</v>
      </c>
      <c r="F8" s="118">
        <v>87.0</v>
      </c>
      <c r="G8" s="2">
        <f t="shared" si="1"/>
        <v>29</v>
      </c>
      <c r="H8" s="118" t="s">
        <v>120</v>
      </c>
      <c r="J8" s="2" t="s">
        <v>72</v>
      </c>
      <c r="K8" s="135" t="s">
        <v>121</v>
      </c>
      <c r="L8" s="135" t="s">
        <v>122</v>
      </c>
      <c r="M8" s="136" t="s">
        <v>123</v>
      </c>
      <c r="N8" s="135">
        <v>29.0</v>
      </c>
    </row>
    <row r="9" ht="14.25" customHeight="1">
      <c r="B9" s="135">
        <v>6.0</v>
      </c>
      <c r="C9" s="118" t="s">
        <v>74</v>
      </c>
      <c r="D9" s="135" t="s">
        <v>32</v>
      </c>
      <c r="E9" s="135" t="s">
        <v>106</v>
      </c>
      <c r="F9" s="118">
        <v>54.0</v>
      </c>
      <c r="G9" s="2">
        <f t="shared" si="1"/>
        <v>18</v>
      </c>
      <c r="H9" s="135" t="s">
        <v>124</v>
      </c>
      <c r="J9" s="118" t="s">
        <v>74</v>
      </c>
      <c r="K9" s="118" t="s">
        <v>108</v>
      </c>
      <c r="L9" s="135" t="s">
        <v>109</v>
      </c>
      <c r="M9" s="136" t="s">
        <v>110</v>
      </c>
      <c r="N9" s="135">
        <v>51.0</v>
      </c>
    </row>
    <row r="10" ht="14.25" customHeight="1">
      <c r="B10" s="135">
        <v>7.0</v>
      </c>
      <c r="C10" s="126" t="s">
        <v>75</v>
      </c>
      <c r="D10" s="118" t="s">
        <v>41</v>
      </c>
      <c r="E10" s="118" t="s">
        <v>106</v>
      </c>
      <c r="F10" s="118">
        <v>24.0</v>
      </c>
      <c r="G10" s="2">
        <f t="shared" si="1"/>
        <v>8</v>
      </c>
      <c r="H10" s="118" t="s">
        <v>107</v>
      </c>
      <c r="J10" s="2" t="s">
        <v>75</v>
      </c>
      <c r="K10" s="135" t="s">
        <v>113</v>
      </c>
      <c r="L10" s="135" t="s">
        <v>114</v>
      </c>
      <c r="M10" s="136" t="s">
        <v>115</v>
      </c>
      <c r="N10" s="135">
        <v>42.0</v>
      </c>
    </row>
    <row r="11" ht="14.25" customHeight="1">
      <c r="B11" s="135">
        <v>8.0</v>
      </c>
      <c r="C11" s="2" t="s">
        <v>76</v>
      </c>
      <c r="D11" s="118" t="s">
        <v>42</v>
      </c>
      <c r="E11" s="118" t="s">
        <v>106</v>
      </c>
      <c r="F11" s="118">
        <v>87.0</v>
      </c>
      <c r="G11" s="2">
        <f t="shared" si="1"/>
        <v>29</v>
      </c>
      <c r="H11" s="118" t="s">
        <v>120</v>
      </c>
      <c r="J11" s="2" t="s">
        <v>76</v>
      </c>
      <c r="K11" s="118" t="s">
        <v>121</v>
      </c>
      <c r="L11" s="118" t="s">
        <v>125</v>
      </c>
      <c r="M11" s="136" t="s">
        <v>126</v>
      </c>
      <c r="N11" s="135">
        <v>17.0</v>
      </c>
    </row>
    <row r="12" ht="14.25" customHeight="1">
      <c r="B12" s="135">
        <v>9.0</v>
      </c>
      <c r="C12" s="2" t="s">
        <v>77</v>
      </c>
      <c r="D12" s="118" t="s">
        <v>42</v>
      </c>
      <c r="E12" s="118" t="s">
        <v>106</v>
      </c>
      <c r="F12" s="118">
        <v>87.0</v>
      </c>
      <c r="G12" s="2">
        <f t="shared" si="1"/>
        <v>29</v>
      </c>
      <c r="H12" s="118" t="s">
        <v>120</v>
      </c>
      <c r="J12" s="2" t="s">
        <v>77</v>
      </c>
      <c r="K12" s="118" t="s">
        <v>127</v>
      </c>
      <c r="L12" s="118" t="s">
        <v>128</v>
      </c>
      <c r="M12" s="136" t="s">
        <v>129</v>
      </c>
      <c r="N12" s="126">
        <f>28</f>
        <v>28</v>
      </c>
    </row>
    <row r="13" ht="14.25" customHeight="1">
      <c r="B13" s="135">
        <v>10.0</v>
      </c>
      <c r="C13" s="2" t="s">
        <v>78</v>
      </c>
      <c r="D13" s="118" t="s">
        <v>48</v>
      </c>
      <c r="E13" s="118" t="s">
        <v>106</v>
      </c>
      <c r="F13" s="118">
        <v>9.0</v>
      </c>
      <c r="G13" s="2">
        <f t="shared" si="1"/>
        <v>3</v>
      </c>
      <c r="H13" s="118" t="s">
        <v>130</v>
      </c>
      <c r="J13" s="2" t="s">
        <v>78</v>
      </c>
      <c r="K13" s="2"/>
      <c r="L13" s="2"/>
      <c r="M13" s="26"/>
    </row>
    <row r="14" ht="14.25" customHeight="1">
      <c r="N14" s="2"/>
    </row>
    <row r="15" ht="14.25" customHeight="1">
      <c r="C15" s="2"/>
      <c r="D15" s="119" t="s">
        <v>131</v>
      </c>
      <c r="I15" s="2"/>
      <c r="J15" s="2"/>
      <c r="K15" s="119" t="s">
        <v>132</v>
      </c>
    </row>
    <row r="16" ht="14.25" customHeight="1">
      <c r="B16" s="135">
        <v>1.0</v>
      </c>
      <c r="C16" s="2" t="s">
        <v>64</v>
      </c>
      <c r="D16" s="2">
        <v>343.0</v>
      </c>
      <c r="I16" s="2"/>
      <c r="J16" s="2" t="s">
        <v>64</v>
      </c>
      <c r="K16" s="2"/>
    </row>
    <row r="17" ht="14.25" customHeight="1">
      <c r="B17" s="135">
        <v>2.0</v>
      </c>
      <c r="C17" s="2" t="s">
        <v>67</v>
      </c>
      <c r="D17" s="2">
        <v>326.0</v>
      </c>
      <c r="I17" s="2"/>
      <c r="J17" s="2" t="s">
        <v>67</v>
      </c>
      <c r="K17" s="2"/>
    </row>
    <row r="18" ht="14.25" customHeight="1">
      <c r="B18" s="135">
        <v>3.0</v>
      </c>
      <c r="C18" s="2" t="s">
        <v>69</v>
      </c>
      <c r="D18" s="2">
        <v>300.0</v>
      </c>
      <c r="I18" s="2"/>
      <c r="J18" s="2" t="s">
        <v>69</v>
      </c>
      <c r="K18" s="2"/>
    </row>
    <row r="19" ht="14.25" customHeight="1">
      <c r="B19" s="135">
        <v>4.0</v>
      </c>
      <c r="C19" s="2" t="s">
        <v>71</v>
      </c>
      <c r="D19" s="2">
        <v>264.0</v>
      </c>
      <c r="I19" s="2"/>
      <c r="J19" s="2" t="s">
        <v>71</v>
      </c>
      <c r="K19" s="2"/>
    </row>
    <row r="20" ht="14.25" customHeight="1">
      <c r="B20" s="135">
        <v>5.0</v>
      </c>
      <c r="C20" s="2" t="s">
        <v>72</v>
      </c>
      <c r="D20" s="2">
        <v>285.0</v>
      </c>
      <c r="I20" s="2"/>
      <c r="J20" s="2" t="s">
        <v>72</v>
      </c>
      <c r="K20" s="2"/>
    </row>
    <row r="21" ht="14.25" customHeight="1">
      <c r="B21" s="135">
        <v>6.0</v>
      </c>
      <c r="C21" s="118" t="s">
        <v>74</v>
      </c>
      <c r="D21" s="2">
        <v>310.0</v>
      </c>
      <c r="I21" s="118"/>
      <c r="J21" s="118" t="s">
        <v>74</v>
      </c>
      <c r="K21" s="2"/>
    </row>
    <row r="22" ht="14.25" customHeight="1">
      <c r="B22" s="135">
        <v>7.0</v>
      </c>
      <c r="C22" s="2" t="s">
        <v>75</v>
      </c>
      <c r="D22" s="2">
        <v>346.0</v>
      </c>
      <c r="I22" s="2"/>
      <c r="J22" s="2" t="s">
        <v>75</v>
      </c>
      <c r="K22" s="2"/>
    </row>
    <row r="23" ht="14.25" customHeight="1">
      <c r="B23" s="135">
        <v>8.0</v>
      </c>
      <c r="C23" s="2" t="s">
        <v>76</v>
      </c>
      <c r="D23" s="2">
        <v>267.0</v>
      </c>
      <c r="I23" s="2"/>
      <c r="J23" s="2" t="s">
        <v>76</v>
      </c>
      <c r="K23" s="2"/>
    </row>
    <row r="24" ht="14.25" customHeight="1">
      <c r="B24" s="135">
        <v>9.0</v>
      </c>
      <c r="C24" s="2" t="s">
        <v>77</v>
      </c>
      <c r="D24" s="2">
        <v>219.0</v>
      </c>
      <c r="I24" s="2"/>
      <c r="J24" s="2" t="s">
        <v>77</v>
      </c>
      <c r="K24" s="2"/>
    </row>
    <row r="25" ht="14.25" customHeight="1">
      <c r="B25" s="135">
        <v>10.0</v>
      </c>
      <c r="C25" s="2" t="s">
        <v>78</v>
      </c>
      <c r="D25" s="2">
        <v>223.0</v>
      </c>
      <c r="I25" s="2"/>
      <c r="J25" s="2" t="s">
        <v>78</v>
      </c>
      <c r="K25" s="2"/>
    </row>
    <row r="26" ht="14.25" customHeight="1">
      <c r="C26" s="118" t="s">
        <v>106</v>
      </c>
      <c r="D26" s="118">
        <v>344.0</v>
      </c>
      <c r="I26" s="2"/>
      <c r="J26" s="2"/>
      <c r="K26" s="2"/>
    </row>
    <row r="27" ht="14.25" customHeight="1">
      <c r="C27" s="2"/>
      <c r="D27" s="2"/>
      <c r="I27" s="2"/>
      <c r="J27" s="2"/>
      <c r="K27" s="2"/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mergeCells count="2">
    <mergeCell ref="C2:G2"/>
    <mergeCell ref="J2:M2"/>
  </mergeCells>
  <conditionalFormatting sqref="M4:M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4:N1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:G13 N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:D2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6:K2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87401575" footer="0.0" header="0.0" left="0.7" right="0.7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8.71"/>
    <col customWidth="1" min="3" max="15" width="9.57"/>
    <col customWidth="1" min="16" max="26" width="8.71"/>
  </cols>
  <sheetData>
    <row r="1" ht="14.25" customHeight="1">
      <c r="B1" s="137" t="s">
        <v>133</v>
      </c>
    </row>
    <row r="2" ht="14.25" customHeight="1">
      <c r="B2" s="130" t="s">
        <v>134</v>
      </c>
      <c r="C2" s="138" t="s">
        <v>64</v>
      </c>
      <c r="D2" s="138" t="s">
        <v>69</v>
      </c>
      <c r="E2" s="138" t="s">
        <v>71</v>
      </c>
      <c r="F2" s="138" t="s">
        <v>72</v>
      </c>
      <c r="G2" s="138" t="s">
        <v>76</v>
      </c>
      <c r="H2" s="138" t="s">
        <v>67</v>
      </c>
      <c r="I2" s="138" t="s">
        <v>85</v>
      </c>
      <c r="J2" s="138" t="s">
        <v>78</v>
      </c>
      <c r="K2" s="138" t="s">
        <v>77</v>
      </c>
      <c r="L2" s="138" t="s">
        <v>75</v>
      </c>
      <c r="M2" s="138" t="s">
        <v>135</v>
      </c>
      <c r="N2" s="138" t="s">
        <v>136</v>
      </c>
      <c r="O2" s="138" t="s">
        <v>137</v>
      </c>
    </row>
    <row r="3" ht="14.25" customHeight="1">
      <c r="B3" s="2" t="s">
        <v>138</v>
      </c>
      <c r="C3" s="26">
        <v>2499.0</v>
      </c>
      <c r="D3" s="26">
        <v>2367.0</v>
      </c>
      <c r="E3" s="26">
        <v>2365.0</v>
      </c>
      <c r="F3" s="26">
        <v>2352.0</v>
      </c>
      <c r="G3" s="26">
        <v>2288.0</v>
      </c>
      <c r="H3" s="26">
        <v>2288.0</v>
      </c>
      <c r="I3" s="26">
        <v>2246.0</v>
      </c>
      <c r="J3" s="26">
        <v>2225.0</v>
      </c>
      <c r="K3" s="26">
        <v>2162.0</v>
      </c>
      <c r="L3" s="26">
        <v>2086.0</v>
      </c>
      <c r="M3" s="26">
        <v>2078.0</v>
      </c>
      <c r="N3" s="26">
        <v>2073.0</v>
      </c>
      <c r="O3" s="26">
        <v>1780.0</v>
      </c>
    </row>
    <row r="4" ht="14.25" customHeight="1">
      <c r="B4" s="2" t="s">
        <v>139</v>
      </c>
      <c r="C4" s="26">
        <v>77390.0</v>
      </c>
      <c r="D4" s="26">
        <v>532173.0</v>
      </c>
      <c r="E4" s="26">
        <v>542886.0</v>
      </c>
      <c r="F4" s="26">
        <v>627889.0</v>
      </c>
      <c r="G4" s="26">
        <v>1152295.0</v>
      </c>
      <c r="H4" s="26">
        <v>1150497.0</v>
      </c>
      <c r="I4" s="26">
        <v>1608819.0</v>
      </c>
      <c r="J4" s="26">
        <v>1859387.0</v>
      </c>
      <c r="K4" s="26">
        <v>2691231.0</v>
      </c>
      <c r="L4" s="26">
        <v>3718044.0</v>
      </c>
      <c r="M4" s="26">
        <v>3813381.0</v>
      </c>
      <c r="N4" s="26">
        <v>3882995.0</v>
      </c>
      <c r="O4" s="26">
        <v>7439805.0</v>
      </c>
    </row>
    <row r="5" ht="14.25" customHeight="1">
      <c r="B5" s="2" t="s">
        <v>140</v>
      </c>
      <c r="C5" s="26">
        <v>1055.0</v>
      </c>
      <c r="D5" s="26">
        <v>1037.0</v>
      </c>
      <c r="E5" s="26">
        <v>1031.0</v>
      </c>
      <c r="F5" s="26">
        <v>1021.0</v>
      </c>
      <c r="G5" s="26">
        <v>1039.0</v>
      </c>
      <c r="H5" s="26">
        <v>1021.0</v>
      </c>
      <c r="I5" s="26">
        <v>1015.0</v>
      </c>
      <c r="J5" s="26">
        <v>996.0</v>
      </c>
      <c r="K5" s="26">
        <v>1012.0</v>
      </c>
      <c r="L5" s="26">
        <v>1010.0</v>
      </c>
      <c r="M5" s="26">
        <v>1000.0</v>
      </c>
      <c r="N5" s="26">
        <v>999.0</v>
      </c>
      <c r="O5" s="26">
        <v>1006.0</v>
      </c>
    </row>
    <row r="6" ht="14.25" customHeight="1">
      <c r="B6" s="2" t="s">
        <v>141</v>
      </c>
      <c r="C6" s="26">
        <v>191612.0</v>
      </c>
      <c r="D6" s="26">
        <v>268324.0</v>
      </c>
      <c r="E6" s="26">
        <v>214514.0</v>
      </c>
      <c r="F6" s="26">
        <v>57759.0</v>
      </c>
      <c r="G6" s="26">
        <v>56176.0</v>
      </c>
      <c r="H6" s="26">
        <v>323260.0</v>
      </c>
      <c r="I6" s="26">
        <v>248116.0</v>
      </c>
      <c r="J6" s="26">
        <v>408733.0</v>
      </c>
      <c r="K6" s="26">
        <v>19016.0</v>
      </c>
      <c r="L6" s="26">
        <v>237122.0</v>
      </c>
      <c r="M6" s="26">
        <v>108702.0</v>
      </c>
      <c r="N6" s="26">
        <v>194198.0</v>
      </c>
      <c r="O6" s="26">
        <v>418170.0</v>
      </c>
    </row>
    <row r="7" ht="14.25" customHeight="1">
      <c r="B7" s="2" t="s">
        <v>142</v>
      </c>
      <c r="C7" s="26">
        <v>67707.0</v>
      </c>
      <c r="D7" s="26">
        <v>258316.0</v>
      </c>
      <c r="E7" s="26">
        <v>214514.0</v>
      </c>
      <c r="F7" s="26">
        <v>534119.0</v>
      </c>
      <c r="G7" s="26">
        <v>721548.0</v>
      </c>
      <c r="H7" s="26">
        <v>620461.0</v>
      </c>
      <c r="I7" s="26">
        <v>1086049.0</v>
      </c>
      <c r="J7" s="26">
        <v>1201771.0</v>
      </c>
      <c r="K7" s="26">
        <v>887541.0</v>
      </c>
      <c r="L7" s="26">
        <v>1865346.0</v>
      </c>
      <c r="M7" s="26">
        <v>1089975.0</v>
      </c>
      <c r="N7" s="26">
        <v>3696223.0</v>
      </c>
      <c r="O7" s="26">
        <v>4287117.0</v>
      </c>
    </row>
    <row r="8" ht="5.25" customHeight="1">
      <c r="A8" s="2"/>
      <c r="B8" s="2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B9" s="2" t="s">
        <v>143</v>
      </c>
      <c r="C9" s="26">
        <v>38.0</v>
      </c>
      <c r="D9" s="26">
        <v>38.0</v>
      </c>
      <c r="E9" s="26">
        <v>34.0</v>
      </c>
      <c r="F9" s="26">
        <v>44.0</v>
      </c>
      <c r="G9" s="26">
        <v>39.0</v>
      </c>
      <c r="H9" s="26">
        <v>35.0</v>
      </c>
      <c r="I9" s="26">
        <v>41.0</v>
      </c>
      <c r="J9" s="26">
        <v>29.0</v>
      </c>
      <c r="K9" s="26">
        <v>27.0</v>
      </c>
      <c r="L9" s="26">
        <v>41.0</v>
      </c>
      <c r="M9" s="26">
        <v>6.0</v>
      </c>
      <c r="N9" s="26">
        <v>29.0</v>
      </c>
      <c r="O9" s="26">
        <v>0.0</v>
      </c>
    </row>
    <row r="10" ht="14.25" customHeight="1">
      <c r="B10" s="2" t="s">
        <v>144</v>
      </c>
      <c r="C10" s="26">
        <v>16.0</v>
      </c>
      <c r="D10" s="26">
        <v>16.0</v>
      </c>
      <c r="E10" s="26">
        <v>4.0</v>
      </c>
      <c r="F10" s="26">
        <v>44.0</v>
      </c>
      <c r="G10" s="26">
        <v>20.0</v>
      </c>
      <c r="H10" s="26">
        <v>8.0</v>
      </c>
      <c r="I10" s="26">
        <v>24.0</v>
      </c>
      <c r="J10" s="26">
        <v>0.0</v>
      </c>
      <c r="K10" s="26">
        <v>0.0</v>
      </c>
      <c r="L10" s="26">
        <v>36.0</v>
      </c>
      <c r="M10" s="26">
        <v>4.0</v>
      </c>
      <c r="N10" s="26">
        <v>0.0</v>
      </c>
      <c r="O10" s="26">
        <v>0.0</v>
      </c>
    </row>
    <row r="11" ht="14.25" customHeight="1">
      <c r="B11" s="2" t="s">
        <v>145</v>
      </c>
      <c r="C11" s="26">
        <v>235.0</v>
      </c>
      <c r="D11" s="26">
        <v>238.0</v>
      </c>
      <c r="E11" s="26">
        <v>291.0</v>
      </c>
      <c r="F11" s="26">
        <v>333.0</v>
      </c>
      <c r="G11" s="26">
        <v>264.0</v>
      </c>
      <c r="H11" s="26">
        <v>323.0</v>
      </c>
      <c r="I11" s="26">
        <v>252.0</v>
      </c>
      <c r="J11" s="26">
        <v>215.0</v>
      </c>
      <c r="K11" s="26">
        <v>199.0</v>
      </c>
      <c r="L11" s="26">
        <v>252.0</v>
      </c>
      <c r="M11" s="26">
        <v>142.0</v>
      </c>
      <c r="N11" s="26">
        <v>217.0</v>
      </c>
      <c r="O11" s="26">
        <v>70.0</v>
      </c>
    </row>
    <row r="12" ht="14.25" customHeight="1">
      <c r="B12" s="2" t="s">
        <v>146</v>
      </c>
      <c r="C12" s="26">
        <v>63.0</v>
      </c>
      <c r="D12" s="26">
        <v>64.0</v>
      </c>
      <c r="E12" s="26">
        <v>61.0</v>
      </c>
      <c r="F12" s="26">
        <v>65.0</v>
      </c>
      <c r="G12" s="26">
        <v>61.0</v>
      </c>
      <c r="H12" s="26">
        <v>70.0</v>
      </c>
      <c r="I12" s="26">
        <v>56.0</v>
      </c>
      <c r="J12" s="26">
        <v>46.0</v>
      </c>
      <c r="K12" s="26">
        <v>48.0</v>
      </c>
      <c r="L12" s="26">
        <v>59.0</v>
      </c>
      <c r="M12" s="26">
        <v>21.0</v>
      </c>
      <c r="N12" s="26">
        <v>43.0</v>
      </c>
      <c r="O12" s="26">
        <v>23.0</v>
      </c>
    </row>
    <row r="13" ht="14.25" customHeight="1">
      <c r="B13" s="2" t="s">
        <v>147</v>
      </c>
      <c r="C13" s="26">
        <v>8.0</v>
      </c>
      <c r="D13" s="26">
        <v>9.0</v>
      </c>
      <c r="E13" s="26">
        <v>7.0</v>
      </c>
      <c r="F13" s="26">
        <v>8.0</v>
      </c>
      <c r="G13" s="26">
        <v>18.0</v>
      </c>
      <c r="H13" s="26">
        <v>12.0</v>
      </c>
      <c r="I13" s="26">
        <v>9.0</v>
      </c>
      <c r="J13" s="26">
        <v>6.0</v>
      </c>
      <c r="K13" s="26">
        <v>13.0</v>
      </c>
      <c r="L13" s="26">
        <v>7.0</v>
      </c>
      <c r="M13" s="26">
        <v>1.0</v>
      </c>
      <c r="N13" s="26">
        <v>3.0</v>
      </c>
      <c r="O13" s="26">
        <v>1.0</v>
      </c>
    </row>
    <row r="14" ht="5.25" customHeight="1">
      <c r="A14" s="2"/>
      <c r="B14" s="2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B15" s="2" t="s">
        <v>131</v>
      </c>
      <c r="C15" s="26">
        <v>564.0</v>
      </c>
      <c r="D15" s="26">
        <v>546.0</v>
      </c>
      <c r="E15" s="26">
        <v>525.0</v>
      </c>
      <c r="F15" s="26">
        <v>526.0</v>
      </c>
      <c r="G15" s="26">
        <v>507.0</v>
      </c>
      <c r="H15" s="26">
        <v>478.0</v>
      </c>
      <c r="I15" s="26">
        <v>499.0</v>
      </c>
      <c r="J15" s="26">
        <v>553.0</v>
      </c>
      <c r="K15" s="26">
        <v>455.0</v>
      </c>
      <c r="L15" s="26">
        <v>508.0</v>
      </c>
      <c r="M15" s="26">
        <v>536.0</v>
      </c>
      <c r="N15" s="26">
        <v>517.0</v>
      </c>
      <c r="O15" s="26">
        <v>458.0</v>
      </c>
    </row>
    <row r="16" ht="14.25" customHeight="1">
      <c r="B16" s="2" t="s">
        <v>148</v>
      </c>
      <c r="C16" s="26">
        <v>37322.0</v>
      </c>
      <c r="D16" s="26">
        <v>36530.0</v>
      </c>
      <c r="E16" s="26">
        <v>36404.0</v>
      </c>
      <c r="F16" s="26">
        <v>37700.0</v>
      </c>
      <c r="G16" s="26">
        <v>35927.0</v>
      </c>
      <c r="H16" s="26">
        <v>38133.0</v>
      </c>
      <c r="I16" s="26">
        <v>36230.0</v>
      </c>
      <c r="J16" s="26">
        <v>34190.0</v>
      </c>
      <c r="K16" s="26">
        <v>35124.0</v>
      </c>
      <c r="L16" s="26">
        <v>35981.0</v>
      </c>
      <c r="M16" s="26">
        <v>32116.0</v>
      </c>
      <c r="N16" s="26">
        <v>33897.0</v>
      </c>
      <c r="O16" s="26">
        <v>29416.0</v>
      </c>
    </row>
    <row r="17" ht="14.25" customHeight="1">
      <c r="B17" s="2" t="s">
        <v>149</v>
      </c>
      <c r="C17" s="26">
        <v>155.0</v>
      </c>
      <c r="D17" s="26">
        <v>148.0</v>
      </c>
      <c r="E17" s="26">
        <v>137.0</v>
      </c>
      <c r="F17" s="26">
        <v>137.0</v>
      </c>
      <c r="G17" s="26">
        <v>121.0</v>
      </c>
      <c r="H17" s="26">
        <v>117.0</v>
      </c>
      <c r="I17" s="26">
        <v>113.0</v>
      </c>
      <c r="J17" s="26">
        <v>121.0</v>
      </c>
      <c r="K17" s="26">
        <v>110.0</v>
      </c>
      <c r="L17" s="26">
        <v>106.0</v>
      </c>
      <c r="M17" s="26">
        <v>106.0</v>
      </c>
      <c r="N17" s="26">
        <v>103.0</v>
      </c>
      <c r="O17" s="26">
        <v>78.0</v>
      </c>
    </row>
    <row r="18" ht="14.25" customHeight="1">
      <c r="B18" s="2" t="s">
        <v>150</v>
      </c>
      <c r="C18" s="26">
        <v>95.0</v>
      </c>
      <c r="D18" s="26">
        <v>87.0</v>
      </c>
      <c r="E18" s="26">
        <v>92.0</v>
      </c>
      <c r="F18" s="26">
        <v>88.0</v>
      </c>
      <c r="G18" s="26">
        <v>90.0</v>
      </c>
      <c r="H18" s="26">
        <v>94.0</v>
      </c>
      <c r="I18" s="26">
        <v>104.0</v>
      </c>
      <c r="J18" s="26">
        <v>91.0</v>
      </c>
      <c r="K18" s="26">
        <v>86.0</v>
      </c>
      <c r="L18" s="26">
        <v>82.0</v>
      </c>
      <c r="M18" s="26">
        <v>85.0</v>
      </c>
      <c r="N18" s="26">
        <v>73.0</v>
      </c>
      <c r="O18" s="26">
        <v>69.0</v>
      </c>
    </row>
    <row r="19" ht="14.25" customHeight="1">
      <c r="B19" s="2" t="s">
        <v>151</v>
      </c>
      <c r="C19" s="26">
        <v>43.0</v>
      </c>
      <c r="D19" s="26">
        <v>38.0</v>
      </c>
      <c r="E19" s="26">
        <v>44.0</v>
      </c>
      <c r="F19" s="26">
        <v>46.0</v>
      </c>
      <c r="G19" s="26">
        <v>44.0</v>
      </c>
      <c r="H19" s="26">
        <v>47.0</v>
      </c>
      <c r="I19" s="26">
        <v>50.0</v>
      </c>
      <c r="J19" s="26">
        <v>47.0</v>
      </c>
      <c r="K19" s="26">
        <v>48.0</v>
      </c>
      <c r="L19" s="26">
        <v>49.0</v>
      </c>
      <c r="M19" s="26">
        <v>45.0</v>
      </c>
      <c r="N19" s="26">
        <v>48.0</v>
      </c>
      <c r="O19" s="26">
        <v>41.0</v>
      </c>
    </row>
    <row r="20" ht="14.25" customHeight="1">
      <c r="B20" s="2" t="s">
        <v>152</v>
      </c>
      <c r="C20" s="26">
        <v>192.0</v>
      </c>
      <c r="D20" s="26">
        <v>207.0</v>
      </c>
      <c r="E20" s="26">
        <v>216.0</v>
      </c>
      <c r="F20" s="26">
        <v>217.0</v>
      </c>
      <c r="G20" s="26">
        <v>213.0</v>
      </c>
      <c r="H20" s="26">
        <v>217.0</v>
      </c>
      <c r="I20" s="26">
        <v>192.0</v>
      </c>
      <c r="J20" s="26">
        <v>218.0</v>
      </c>
      <c r="K20" s="26">
        <v>216.0</v>
      </c>
      <c r="L20" s="26">
        <v>221.0</v>
      </c>
      <c r="M20" s="26">
        <v>173.0</v>
      </c>
      <c r="N20" s="26">
        <v>214.0</v>
      </c>
      <c r="O20" s="26">
        <v>199.0</v>
      </c>
    </row>
    <row r="21" ht="14.25" customHeight="1">
      <c r="B21" s="2" t="s">
        <v>153</v>
      </c>
      <c r="C21" s="26">
        <v>2.0</v>
      </c>
      <c r="D21" s="26">
        <v>4.0</v>
      </c>
      <c r="E21" s="26">
        <v>2.0</v>
      </c>
      <c r="F21" s="26">
        <v>4.0</v>
      </c>
      <c r="G21" s="26">
        <v>1.0</v>
      </c>
      <c r="H21" s="26">
        <v>4.0</v>
      </c>
      <c r="I21" s="26">
        <v>3.0</v>
      </c>
      <c r="J21" s="26">
        <v>2.0</v>
      </c>
      <c r="K21" s="26">
        <v>2.0</v>
      </c>
      <c r="L21" s="26">
        <v>1.0</v>
      </c>
      <c r="M21" s="26">
        <v>1.0</v>
      </c>
      <c r="N21" s="26">
        <v>2.0</v>
      </c>
      <c r="O21" s="26">
        <v>1.0</v>
      </c>
    </row>
    <row r="22" ht="14.25" customHeight="1">
      <c r="B22" s="2" t="s">
        <v>154</v>
      </c>
      <c r="C22" s="26">
        <v>0.0</v>
      </c>
      <c r="D22" s="26">
        <v>0.0</v>
      </c>
      <c r="E22" s="26">
        <v>0.0</v>
      </c>
      <c r="F22" s="26">
        <v>0.0</v>
      </c>
      <c r="G22" s="26">
        <v>0.0</v>
      </c>
      <c r="H22" s="26">
        <v>0.0</v>
      </c>
      <c r="I22" s="26">
        <v>0.0</v>
      </c>
      <c r="J22" s="26">
        <v>0.0</v>
      </c>
      <c r="K22" s="26">
        <v>0.0</v>
      </c>
      <c r="L22" s="26">
        <v>0.0</v>
      </c>
      <c r="M22" s="26">
        <v>0.0</v>
      </c>
      <c r="N22" s="26">
        <v>1.0</v>
      </c>
      <c r="O22" s="26">
        <v>0.0</v>
      </c>
    </row>
    <row r="23" ht="14.25" customHeight="1">
      <c r="B23" s="2" t="s">
        <v>155</v>
      </c>
      <c r="C23" s="26">
        <v>4.0</v>
      </c>
      <c r="D23" s="26">
        <v>4.0</v>
      </c>
      <c r="E23" s="26">
        <v>3.0</v>
      </c>
      <c r="F23" s="26">
        <v>3.0</v>
      </c>
      <c r="G23" s="26">
        <v>4.0</v>
      </c>
      <c r="H23" s="26">
        <v>5.0</v>
      </c>
      <c r="I23" s="26">
        <v>4.0</v>
      </c>
      <c r="J23" s="26">
        <v>2.0</v>
      </c>
      <c r="K23" s="26">
        <v>3.0</v>
      </c>
      <c r="L23" s="26">
        <v>3.0</v>
      </c>
      <c r="M23" s="26">
        <v>2.0</v>
      </c>
      <c r="N23" s="26">
        <v>2.0</v>
      </c>
      <c r="O23" s="26">
        <v>1.0</v>
      </c>
    </row>
    <row r="24" ht="14.25" customHeight="1">
      <c r="B24" s="2" t="s">
        <v>156</v>
      </c>
      <c r="C24" s="26">
        <v>56.0</v>
      </c>
      <c r="D24" s="26">
        <v>57.0</v>
      </c>
      <c r="E24" s="26">
        <v>62.0</v>
      </c>
      <c r="F24" s="26">
        <v>64.0</v>
      </c>
      <c r="G24" s="26">
        <v>61.0</v>
      </c>
      <c r="H24" s="26">
        <v>54.0</v>
      </c>
      <c r="I24" s="26">
        <v>59.0</v>
      </c>
      <c r="J24" s="26">
        <v>71.0</v>
      </c>
      <c r="K24" s="26">
        <v>69.0</v>
      </c>
      <c r="L24" s="26">
        <v>54.0</v>
      </c>
      <c r="M24" s="26">
        <v>56.0</v>
      </c>
      <c r="N24" s="26">
        <v>52.0</v>
      </c>
      <c r="O24" s="26">
        <v>42.0</v>
      </c>
    </row>
    <row r="25" ht="14.25" customHeight="1">
      <c r="B25" s="2" t="s">
        <v>157</v>
      </c>
      <c r="C25" s="26">
        <v>3.0</v>
      </c>
      <c r="D25" s="26">
        <v>1.0</v>
      </c>
      <c r="E25" s="26">
        <v>2.0</v>
      </c>
      <c r="F25" s="26">
        <v>2.0</v>
      </c>
      <c r="G25" s="26">
        <v>1.0</v>
      </c>
      <c r="H25" s="26">
        <v>1.0</v>
      </c>
      <c r="I25" s="26">
        <v>2.0</v>
      </c>
      <c r="J25" s="26">
        <v>2.0</v>
      </c>
      <c r="K25" s="26">
        <v>1.0</v>
      </c>
      <c r="L25" s="26">
        <v>0.0</v>
      </c>
      <c r="M25" s="26">
        <v>1.0</v>
      </c>
      <c r="N25" s="26">
        <v>2.0</v>
      </c>
      <c r="O25" s="26">
        <v>1.0</v>
      </c>
    </row>
    <row r="26" ht="14.25" customHeight="1">
      <c r="B26" s="2" t="s">
        <v>158</v>
      </c>
      <c r="C26" s="26">
        <v>112.0</v>
      </c>
      <c r="D26" s="26">
        <v>128.0</v>
      </c>
      <c r="E26" s="26">
        <v>127.0</v>
      </c>
      <c r="F26" s="26">
        <v>125.0</v>
      </c>
      <c r="G26" s="26">
        <v>131.0</v>
      </c>
      <c r="H26" s="26">
        <v>113.0</v>
      </c>
      <c r="I26" s="26">
        <v>135.0</v>
      </c>
      <c r="J26" s="26">
        <v>92.0</v>
      </c>
      <c r="K26" s="26">
        <v>105.0</v>
      </c>
      <c r="L26" s="26">
        <v>102.0</v>
      </c>
      <c r="M26" s="26">
        <v>62.0</v>
      </c>
      <c r="N26" s="26">
        <v>140.0</v>
      </c>
      <c r="O26" s="26">
        <v>145.0</v>
      </c>
    </row>
    <row r="27" ht="14.25" customHeight="1">
      <c r="B27" s="2" t="s">
        <v>159</v>
      </c>
      <c r="C27" s="26">
        <v>249.0</v>
      </c>
      <c r="D27" s="26">
        <v>215.0</v>
      </c>
      <c r="E27" s="26">
        <v>243.0</v>
      </c>
      <c r="F27" s="26">
        <v>243.0</v>
      </c>
      <c r="G27" s="26">
        <v>242.0</v>
      </c>
      <c r="H27" s="26">
        <v>225.0</v>
      </c>
      <c r="I27" s="26">
        <v>222.0</v>
      </c>
      <c r="J27" s="26">
        <v>221.0</v>
      </c>
      <c r="K27" s="26">
        <v>220.0</v>
      </c>
      <c r="L27" s="26">
        <v>181.0</v>
      </c>
      <c r="M27" s="26">
        <v>192.0</v>
      </c>
      <c r="N27" s="26">
        <v>178.0</v>
      </c>
      <c r="O27" s="26">
        <v>153.0</v>
      </c>
    </row>
    <row r="28" ht="14.25" customHeight="1">
      <c r="B28" s="2" t="s">
        <v>160</v>
      </c>
      <c r="C28" s="26">
        <v>8460.0</v>
      </c>
      <c r="D28" s="26">
        <v>8076.0</v>
      </c>
      <c r="E28" s="26">
        <v>8291.0</v>
      </c>
      <c r="F28" s="26">
        <v>8251.0</v>
      </c>
      <c r="G28" s="26">
        <v>7930.0</v>
      </c>
      <c r="H28" s="26">
        <v>8578.0</v>
      </c>
      <c r="I28" s="26">
        <v>8222.0</v>
      </c>
      <c r="J28" s="26">
        <v>7854.0</v>
      </c>
      <c r="K28" s="26">
        <v>7923.0</v>
      </c>
      <c r="L28" s="26">
        <v>7325.0</v>
      </c>
      <c r="M28" s="26">
        <v>7384.0</v>
      </c>
      <c r="N28" s="26">
        <v>7313.0</v>
      </c>
      <c r="O28" s="26">
        <v>6483.0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C28:O2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7:O2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6:O2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5:O2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4:O24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3:O23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2:O2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0:O20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1:O2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9:O19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8:O18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7:O17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6:O16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5:O15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3:O14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2:O12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:O5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:O3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1:O11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:O4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:O6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7:O8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9:O9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0:O10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:id="rId1" ref="B1"/>
  </hyperlinks>
  <printOptions/>
  <pageMargins bottom="0.787401575" footer="0.0" header="0.0" left="0.7" right="0.7" top="0.787401575"/>
  <pageSetup orientation="landscape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0"/>
    <col customWidth="1" min="3" max="12" width="7.43"/>
    <col customWidth="1" min="13" max="14" width="8.71"/>
    <col customWidth="1" min="15" max="15" width="16.0"/>
    <col customWidth="1" min="16" max="16" width="4.57"/>
    <col customWidth="1" min="17" max="17" width="5.0"/>
    <col customWidth="1" min="18" max="54" width="8.71"/>
  </cols>
  <sheetData>
    <row r="1" ht="14.25" customHeight="1">
      <c r="Q1" s="2">
        <v>13.0</v>
      </c>
      <c r="R1" s="2">
        <v>14.0</v>
      </c>
      <c r="S1" s="2">
        <v>15.0</v>
      </c>
      <c r="T1" s="2">
        <v>16.0</v>
      </c>
      <c r="U1" s="2">
        <v>17.0</v>
      </c>
      <c r="V1" s="2">
        <v>18.0</v>
      </c>
      <c r="W1" s="2">
        <v>19.0</v>
      </c>
      <c r="X1" s="2">
        <v>20.0</v>
      </c>
      <c r="Y1" s="2">
        <v>21.0</v>
      </c>
      <c r="Z1" s="2">
        <v>22.0</v>
      </c>
      <c r="AA1" s="2">
        <v>23.0</v>
      </c>
      <c r="AB1" s="2">
        <v>24.0</v>
      </c>
      <c r="AC1" s="2">
        <v>25.0</v>
      </c>
      <c r="AD1" s="2">
        <v>26.0</v>
      </c>
      <c r="AE1" s="2">
        <v>27.0</v>
      </c>
      <c r="AF1" s="2">
        <v>28.0</v>
      </c>
      <c r="AG1" s="2">
        <v>29.0</v>
      </c>
      <c r="AH1" s="2">
        <v>30.0</v>
      </c>
      <c r="AI1" s="2">
        <v>31.0</v>
      </c>
      <c r="AJ1" s="2">
        <v>32.0</v>
      </c>
      <c r="AK1" s="2">
        <v>33.0</v>
      </c>
      <c r="AL1" s="2">
        <v>34.0</v>
      </c>
      <c r="AM1" s="2">
        <v>35.0</v>
      </c>
      <c r="AN1" s="2">
        <v>36.0</v>
      </c>
      <c r="AO1" s="2">
        <v>37.0</v>
      </c>
      <c r="AP1" s="2">
        <v>38.0</v>
      </c>
      <c r="AQ1" s="2">
        <v>39.0</v>
      </c>
      <c r="AR1" s="2">
        <v>40.0</v>
      </c>
      <c r="AS1" s="2">
        <v>41.0</v>
      </c>
      <c r="AT1" s="2">
        <v>42.0</v>
      </c>
      <c r="AU1" s="2">
        <v>43.0</v>
      </c>
      <c r="AV1" s="2">
        <v>44.0</v>
      </c>
      <c r="AW1" s="2">
        <v>45.0</v>
      </c>
      <c r="AX1" s="2">
        <v>46.0</v>
      </c>
      <c r="AY1" s="2">
        <v>47.0</v>
      </c>
      <c r="AZ1" s="2">
        <v>48.0</v>
      </c>
      <c r="BA1" s="2">
        <v>49.0</v>
      </c>
      <c r="BB1" s="2">
        <v>50.0</v>
      </c>
    </row>
    <row r="2" ht="14.25" customHeight="1"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31</v>
      </c>
      <c r="AD2" s="2" t="s">
        <v>32</v>
      </c>
      <c r="AE2" s="2" t="s">
        <v>33</v>
      </c>
      <c r="AF2" s="2" t="s">
        <v>34</v>
      </c>
      <c r="AG2" s="2" t="s">
        <v>35</v>
      </c>
      <c r="AH2" s="2" t="s">
        <v>36</v>
      </c>
      <c r="AI2" s="2" t="s">
        <v>37</v>
      </c>
      <c r="AJ2" s="2" t="s">
        <v>38</v>
      </c>
      <c r="AK2" s="2" t="s">
        <v>39</v>
      </c>
      <c r="AL2" s="2" t="s">
        <v>40</v>
      </c>
      <c r="AM2" s="2" t="s">
        <v>41</v>
      </c>
      <c r="AN2" s="2" t="s">
        <v>42</v>
      </c>
      <c r="AO2" s="2" t="s">
        <v>43</v>
      </c>
      <c r="AP2" s="2" t="s">
        <v>44</v>
      </c>
      <c r="AQ2" s="2" t="s">
        <v>45</v>
      </c>
      <c r="AR2" s="2" t="s">
        <v>46</v>
      </c>
      <c r="AS2" s="2" t="s">
        <v>47</v>
      </c>
      <c r="AT2" s="2" t="s">
        <v>48</v>
      </c>
      <c r="AU2" s="2" t="s">
        <v>49</v>
      </c>
      <c r="AV2" s="2" t="s">
        <v>50</v>
      </c>
      <c r="AW2" s="2" t="s">
        <v>51</v>
      </c>
      <c r="AX2" s="2" t="s">
        <v>52</v>
      </c>
      <c r="AY2" s="2" t="s">
        <v>53</v>
      </c>
      <c r="AZ2" s="2" t="s">
        <v>54</v>
      </c>
      <c r="BA2" s="2" t="s">
        <v>55</v>
      </c>
      <c r="BB2" s="2" t="s">
        <v>56</v>
      </c>
    </row>
    <row r="3" ht="14.25" customHeight="1">
      <c r="B3" s="2" t="s">
        <v>75</v>
      </c>
      <c r="C3" s="2">
        <f>SUMPRODUCT(GW!$O$4:$AZ$14*(GW!$O$2:$AZ$2=C$2)*(GW!$C$4:$C$14=$B3))</f>
        <v>222</v>
      </c>
      <c r="D3" s="2">
        <f>SUMPRODUCT(GW!$O$4:$AZ$14*(GW!$O$2:$AZ$2=D$2)*(GW!$C$4:$C$14=$B3))</f>
        <v>156</v>
      </c>
      <c r="E3" s="2">
        <f>SUMPRODUCT(GW!$O$4:$AZ$14*(GW!$O$2:$AZ$2=E$2)*(GW!$C$4:$C$14=$B3))</f>
        <v>121</v>
      </c>
      <c r="F3" s="2">
        <f>SUMPRODUCT(GW!$O$4:$AZ$14*(GW!$O$2:$AZ$2=F$2)*(GW!$C$4:$C$14=$B3))</f>
        <v>205</v>
      </c>
      <c r="G3" s="2">
        <f>SUMPRODUCT(GW!$O$4:$AZ$14*(GW!$O$2:$AZ$2=G$2)*(GW!$C$4:$C$14=$B3))</f>
        <v>358</v>
      </c>
      <c r="H3" s="2">
        <f>SUMPRODUCT(GW!$O$4:$AZ$14*(GW!$O$2:$AZ$2=H$2)*(GW!$C$4:$C$14=$B3))</f>
        <v>210</v>
      </c>
      <c r="I3" s="2">
        <f>SUMPRODUCT(GW!$O$4:$AZ$14*(GW!$O$2:$AZ$2=I$2)*(GW!$C$4:$C$14=$B3))</f>
        <v>308</v>
      </c>
      <c r="J3" s="2">
        <f>SUMPRODUCT(GW!$O$4:$AZ$14*(GW!$O$2:$AZ$2=J$2)*(GW!$C$4:$C$14=$B3))</f>
        <v>141</v>
      </c>
      <c r="K3" s="2">
        <f>SUMPRODUCT(GW!$O$4:$AZ$14*(GW!$O$2:$AZ$2=K$2)*(GW!$C$4:$C$14=$B3))</f>
        <v>327</v>
      </c>
      <c r="L3" s="2">
        <f>SUMPRODUCT(GW!$O$4:$AZ$14*(GW!$O$2:$AZ$2=L$2)*(GW!$C$4:$C$14=$B3))</f>
        <v>194</v>
      </c>
      <c r="M3" s="2" t="s">
        <v>75</v>
      </c>
      <c r="O3" s="2" t="s">
        <v>75</v>
      </c>
      <c r="P3" s="2">
        <f t="shared" ref="P3:P13" si="1">SUM(Q3:BB3)</f>
        <v>2</v>
      </c>
      <c r="Q3" s="2">
        <f>IF(VLOOKUP($O3,GW!$C:$AZ,'Pomocný'!Q$1,FALSE)=Q$14,1,0)</f>
        <v>0</v>
      </c>
      <c r="R3" s="2">
        <f>IF(VLOOKUP($O3,GW!$C:$AZ,'Pomocný'!R$1,FALSE)=R$14,1,0)</f>
        <v>0</v>
      </c>
      <c r="S3" s="2">
        <f>IF(VLOOKUP($O3,GW!$C:$AZ,'Pomocný'!S$1,FALSE)=S$14,1,0)</f>
        <v>1</v>
      </c>
      <c r="T3" s="2">
        <f>IF(VLOOKUP($O3,GW!$C:$AZ,'Pomocný'!T$1,FALSE)=T$14,1,0)</f>
        <v>0</v>
      </c>
      <c r="U3" s="2">
        <f>IF(VLOOKUP($O3,GW!$C:$AZ,'Pomocný'!U$1,FALSE)=U$14,1,0)</f>
        <v>0</v>
      </c>
      <c r="V3" s="2">
        <f>IF(VLOOKUP($O3,GW!$C:$AZ,'Pomocný'!V$1,FALSE)=V$14,1,0)</f>
        <v>0</v>
      </c>
      <c r="W3" s="2">
        <f>IF(VLOOKUP($O3,GW!$C:$AZ,'Pomocný'!W$1,FALSE)=W$14,1,0)</f>
        <v>0</v>
      </c>
      <c r="X3" s="2">
        <f>IF(VLOOKUP($O3,GW!$C:$AZ,'Pomocný'!X$1,FALSE)=X$14,1,0)</f>
        <v>0</v>
      </c>
      <c r="Y3" s="2">
        <f>IF(VLOOKUP($O3,GW!$C:$AZ,'Pomocný'!Y$1,FALSE)=Y$14,1,0)</f>
        <v>0</v>
      </c>
      <c r="Z3" s="2">
        <f>IF(VLOOKUP($O3,GW!$C:$AZ,'Pomocný'!Z$1,FALSE)=Z$14,1,0)</f>
        <v>0</v>
      </c>
      <c r="AA3" s="2">
        <f>IF(VLOOKUP($O3,GW!$C:$AZ,'Pomocný'!AA$1,FALSE)=AA$14,1,0)</f>
        <v>0</v>
      </c>
      <c r="AB3" s="2">
        <f>IF(VLOOKUP($O3,GW!$C:$AZ,'Pomocný'!AB$1,FALSE)=AB$14,1,0)</f>
        <v>0</v>
      </c>
      <c r="AC3" s="2">
        <f>IF(VLOOKUP($O3,GW!$C:$AZ,'Pomocný'!AC$1,FALSE)=AC$14,1,0)</f>
        <v>0</v>
      </c>
      <c r="AD3" s="2">
        <f>IF(VLOOKUP($O3,GW!$C:$AZ,'Pomocný'!AD$1,FALSE)=AD$14,1,0)</f>
        <v>0</v>
      </c>
      <c r="AE3" s="2">
        <f>IF(VLOOKUP($O3,GW!$C:$AZ,'Pomocný'!AE$1,FALSE)=AE$14,1,0)</f>
        <v>0</v>
      </c>
      <c r="AF3" s="2">
        <f>IF(VLOOKUP($O3,GW!$C:$AZ,'Pomocný'!AF$1,FALSE)=AF$14,1,0)</f>
        <v>0</v>
      </c>
      <c r="AG3" s="2">
        <f>IF(VLOOKUP($O3,GW!$C:$AZ,'Pomocný'!AG$1,FALSE)=AG$14,1,0)</f>
        <v>0</v>
      </c>
      <c r="AH3" s="2">
        <f>IF(VLOOKUP($O3,GW!$C:$AZ,'Pomocný'!AH$1,FALSE)=AH$14,1,0)</f>
        <v>0</v>
      </c>
      <c r="AI3" s="2">
        <f>IF(VLOOKUP($O3,GW!$C:$AZ,'Pomocný'!AI$1,FALSE)=AI$14,1,0)</f>
        <v>0</v>
      </c>
      <c r="AJ3" s="2">
        <f>IF(VLOOKUP($O3,GW!$C:$AZ,'Pomocný'!AJ$1,FALSE)=AJ$14,1,0)</f>
        <v>0</v>
      </c>
      <c r="AK3" s="2">
        <f>IF(VLOOKUP($O3,GW!$C:$AZ,'Pomocný'!AK$1,FALSE)=AK$14,1,0)</f>
        <v>0</v>
      </c>
      <c r="AL3" s="2">
        <f>IF(VLOOKUP($O3,GW!$C:$AZ,'Pomocný'!AL$1,FALSE)=AL$14,1,0)</f>
        <v>0</v>
      </c>
      <c r="AM3" s="2">
        <f>IF(VLOOKUP($O3,GW!$C:$AZ,'Pomocný'!AM$1,FALSE)=AM$14,1,0)</f>
        <v>0</v>
      </c>
      <c r="AN3" s="2">
        <f>IF(VLOOKUP($O3,GW!$C:$AZ,'Pomocný'!AN$1,FALSE)=AN$14,1,0)</f>
        <v>0</v>
      </c>
      <c r="AO3" s="2">
        <f>IF(VLOOKUP($O3,GW!$C:$AZ,'Pomocný'!AO$1,FALSE)=AO$14,1,0)</f>
        <v>0</v>
      </c>
      <c r="AP3" s="2">
        <f>IF(VLOOKUP($O3,GW!$C:$AZ,'Pomocný'!AP$1,FALSE)=AP$14,1,0)</f>
        <v>0</v>
      </c>
      <c r="AQ3" s="2">
        <f>IF(VLOOKUP($O3,GW!$C:$AZ,'Pomocný'!AQ$1,FALSE)=AQ$14,1,0)</f>
        <v>0</v>
      </c>
      <c r="AR3" s="2">
        <f>IF(VLOOKUP($O3,GW!$C:$AZ,'Pomocný'!AR$1,FALSE)=AR$14,1,0)</f>
        <v>0</v>
      </c>
      <c r="AS3" s="2">
        <f>IF(VLOOKUP($O3,GW!$C:$AZ,'Pomocný'!AS$1,FALSE)=AS$14,1,0)</f>
        <v>0</v>
      </c>
      <c r="AT3" s="2">
        <f>IF(VLOOKUP($O3,GW!$C:$AZ,'Pomocný'!AT$1,FALSE)=AT$14,1,0)</f>
        <v>0</v>
      </c>
      <c r="AU3" s="2">
        <f>IF(VLOOKUP($O3,GW!$C:$AZ,'Pomocný'!AU$1,FALSE)=AU$14,1,0)</f>
        <v>0</v>
      </c>
      <c r="AV3" s="2">
        <f>IF(VLOOKUP($O3,GW!$C:$AZ,'Pomocný'!AV$1,FALSE)=AV$14,1,0)</f>
        <v>1</v>
      </c>
      <c r="AW3" s="2">
        <f>IF(VLOOKUP($O3,GW!$C:$AZ,'Pomocný'!AW$1,FALSE)=AW$14,1,0)</f>
        <v>0</v>
      </c>
      <c r="AX3" s="2">
        <f>IF(VLOOKUP($O3,GW!$C:$AZ,'Pomocný'!AX$1,FALSE)=AX$14,1,0)</f>
        <v>0</v>
      </c>
      <c r="AY3" s="2">
        <f>IF(VLOOKUP($O3,GW!$C:$AZ,'Pomocný'!AY$1,FALSE)=AY$14,1,0)</f>
        <v>0</v>
      </c>
      <c r="AZ3" s="2">
        <f>IF(VLOOKUP($O3,GW!$C:$AZ,'Pomocný'!AZ$1,FALSE)=AZ$14,1,0)</f>
        <v>0</v>
      </c>
      <c r="BA3" s="2">
        <f>IF(VLOOKUP($O3,GW!$C:$AZ,'Pomocný'!BA$1,FALSE)=BA$14,1,0)</f>
        <v>0</v>
      </c>
      <c r="BB3" s="2">
        <f>IF(VLOOKUP($O3,GW!$C:$AZ,'Pomocný'!BB$1,FALSE)=BB$14,1,0)</f>
        <v>0</v>
      </c>
    </row>
    <row r="4" ht="14.25" customHeight="1">
      <c r="B4" s="2" t="s">
        <v>72</v>
      </c>
      <c r="C4" s="2">
        <f>SUMPRODUCT(GW!$O$4:$AZ$14*(GW!$O$2:$AZ$2=C$2)*(GW!$C$4:$C$14=$B4))</f>
        <v>207</v>
      </c>
      <c r="D4" s="2">
        <f>SUMPRODUCT(GW!$O$4:$AZ$14*(GW!$O$2:$AZ$2=D$2)*(GW!$C$4:$C$14=$B4))</f>
        <v>191</v>
      </c>
      <c r="E4" s="2">
        <f>SUMPRODUCT(GW!$O$4:$AZ$14*(GW!$O$2:$AZ$2=E$2)*(GW!$C$4:$C$14=$B4))</f>
        <v>147</v>
      </c>
      <c r="F4" s="2">
        <f>SUMPRODUCT(GW!$O$4:$AZ$14*(GW!$O$2:$AZ$2=F$2)*(GW!$C$4:$C$14=$B4))</f>
        <v>199</v>
      </c>
      <c r="G4" s="2">
        <f>SUMPRODUCT(GW!$O$4:$AZ$14*(GW!$O$2:$AZ$2=G$2)*(GW!$C$4:$C$14=$B4))</f>
        <v>345</v>
      </c>
      <c r="H4" s="2">
        <f>SUMPRODUCT(GW!$O$4:$AZ$14*(GW!$O$2:$AZ$2=H$2)*(GW!$C$4:$C$14=$B4))</f>
        <v>251</v>
      </c>
      <c r="I4" s="2">
        <f>SUMPRODUCT(GW!$O$4:$AZ$14*(GW!$O$2:$AZ$2=I$2)*(GW!$C$4:$C$14=$B4))</f>
        <v>310</v>
      </c>
      <c r="J4" s="2">
        <f>SUMPRODUCT(GW!$O$4:$AZ$14*(GW!$O$2:$AZ$2=J$2)*(GW!$C$4:$C$14=$B4))</f>
        <v>99</v>
      </c>
      <c r="K4" s="2">
        <f>SUMPRODUCT(GW!$O$4:$AZ$14*(GW!$O$2:$AZ$2=K$2)*(GW!$C$4:$C$14=$B4))</f>
        <v>309</v>
      </c>
      <c r="L4" s="2">
        <f>SUMPRODUCT(GW!$O$4:$AZ$14*(GW!$O$2:$AZ$2=L$2)*(GW!$C$4:$C$14=$B4))</f>
        <v>200</v>
      </c>
      <c r="M4" s="2" t="s">
        <v>72</v>
      </c>
      <c r="O4" s="2" t="s">
        <v>72</v>
      </c>
      <c r="P4" s="2">
        <f t="shared" si="1"/>
        <v>3</v>
      </c>
      <c r="Q4" s="2">
        <f>IF(VLOOKUP($O4,GW!$C:$AZ,'Pomocný'!Q$1,FALSE)=Q$14,1,0)</f>
        <v>0</v>
      </c>
      <c r="R4" s="2">
        <f>IF(VLOOKUP($O4,GW!$C:$AZ,'Pomocný'!R$1,FALSE)=R$14,1,0)</f>
        <v>0</v>
      </c>
      <c r="S4" s="2">
        <f>IF(VLOOKUP($O4,GW!$C:$AZ,'Pomocný'!S$1,FALSE)=S$14,1,0)</f>
        <v>0</v>
      </c>
      <c r="T4" s="2">
        <f>IF(VLOOKUP($O4,GW!$C:$AZ,'Pomocný'!T$1,FALSE)=T$14,1,0)</f>
        <v>0</v>
      </c>
      <c r="U4" s="2">
        <f>IF(VLOOKUP($O4,GW!$C:$AZ,'Pomocný'!U$1,FALSE)=U$14,1,0)</f>
        <v>0</v>
      </c>
      <c r="V4" s="2">
        <f>IF(VLOOKUP($O4,GW!$C:$AZ,'Pomocný'!V$1,FALSE)=V$14,1,0)</f>
        <v>0</v>
      </c>
      <c r="W4" s="2">
        <f>IF(VLOOKUP($O4,GW!$C:$AZ,'Pomocný'!W$1,FALSE)=W$14,1,0)</f>
        <v>0</v>
      </c>
      <c r="X4" s="2">
        <f>IF(VLOOKUP($O4,GW!$C:$AZ,'Pomocný'!X$1,FALSE)=X$14,1,0)</f>
        <v>0</v>
      </c>
      <c r="Y4" s="2">
        <f>IF(VLOOKUP($O4,GW!$C:$AZ,'Pomocný'!Y$1,FALSE)=Y$14,1,0)</f>
        <v>0</v>
      </c>
      <c r="Z4" s="2">
        <f>IF(VLOOKUP($O4,GW!$C:$AZ,'Pomocný'!Z$1,FALSE)=Z$14,1,0)</f>
        <v>1</v>
      </c>
      <c r="AA4" s="2">
        <f>IF(VLOOKUP($O4,GW!$C:$AZ,'Pomocný'!AA$1,FALSE)=AA$14,1,0)</f>
        <v>0</v>
      </c>
      <c r="AB4" s="2">
        <f>IF(VLOOKUP($O4,GW!$C:$AZ,'Pomocný'!AB$1,FALSE)=AB$14,1,0)</f>
        <v>0</v>
      </c>
      <c r="AC4" s="2">
        <f>IF(VLOOKUP($O4,GW!$C:$AZ,'Pomocný'!AC$1,FALSE)=AC$14,1,0)</f>
        <v>0</v>
      </c>
      <c r="AD4" s="2">
        <f>IF(VLOOKUP($O4,GW!$C:$AZ,'Pomocný'!AD$1,FALSE)=AD$14,1,0)</f>
        <v>0</v>
      </c>
      <c r="AE4" s="2">
        <f>IF(VLOOKUP($O4,GW!$C:$AZ,'Pomocný'!AE$1,FALSE)=AE$14,1,0)</f>
        <v>0</v>
      </c>
      <c r="AF4" s="2">
        <f>IF(VLOOKUP($O4,GW!$C:$AZ,'Pomocný'!AF$1,FALSE)=AF$14,1,0)</f>
        <v>0</v>
      </c>
      <c r="AG4" s="2">
        <f>IF(VLOOKUP($O4,GW!$C:$AZ,'Pomocný'!AG$1,FALSE)=AG$14,1,0)</f>
        <v>0</v>
      </c>
      <c r="AH4" s="2">
        <f>IF(VLOOKUP($O4,GW!$C:$AZ,'Pomocný'!AH$1,FALSE)=AH$14,1,0)</f>
        <v>0</v>
      </c>
      <c r="AI4" s="2">
        <f>IF(VLOOKUP($O4,GW!$C:$AZ,'Pomocný'!AI$1,FALSE)=AI$14,1,0)</f>
        <v>0</v>
      </c>
      <c r="AJ4" s="2">
        <f>IF(VLOOKUP($O4,GW!$C:$AZ,'Pomocný'!AJ$1,FALSE)=AJ$14,1,0)</f>
        <v>0</v>
      </c>
      <c r="AK4" s="2">
        <f>IF(VLOOKUP($O4,GW!$C:$AZ,'Pomocný'!AK$1,FALSE)=AK$14,1,0)</f>
        <v>1</v>
      </c>
      <c r="AL4" s="2">
        <f>IF(VLOOKUP($O4,GW!$C:$AZ,'Pomocný'!AL$1,FALSE)=AL$14,1,0)</f>
        <v>0</v>
      </c>
      <c r="AM4" s="2">
        <f>IF(VLOOKUP($O4,GW!$C:$AZ,'Pomocný'!AM$1,FALSE)=AM$14,1,0)</f>
        <v>0</v>
      </c>
      <c r="AN4" s="2">
        <f>IF(VLOOKUP($O4,GW!$C:$AZ,'Pomocný'!AN$1,FALSE)=AN$14,1,0)</f>
        <v>0</v>
      </c>
      <c r="AO4" s="2">
        <f>IF(VLOOKUP($O4,GW!$C:$AZ,'Pomocný'!AO$1,FALSE)=AO$14,1,0)</f>
        <v>0</v>
      </c>
      <c r="AP4" s="2">
        <f>IF(VLOOKUP($O4,GW!$C:$AZ,'Pomocný'!AP$1,FALSE)=AP$14,1,0)</f>
        <v>0</v>
      </c>
      <c r="AQ4" s="2">
        <f>IF(VLOOKUP($O4,GW!$C:$AZ,'Pomocný'!AQ$1,FALSE)=AQ$14,1,0)</f>
        <v>0</v>
      </c>
      <c r="AR4" s="2">
        <f>IF(VLOOKUP($O4,GW!$C:$AZ,'Pomocný'!AR$1,FALSE)=AR$14,1,0)</f>
        <v>0</v>
      </c>
      <c r="AS4" s="2">
        <f>IF(VLOOKUP($O4,GW!$C:$AZ,'Pomocný'!AS$1,FALSE)=AS$14,1,0)</f>
        <v>0</v>
      </c>
      <c r="AT4" s="2">
        <f>IF(VLOOKUP($O4,GW!$C:$AZ,'Pomocný'!AT$1,FALSE)=AT$14,1,0)</f>
        <v>0</v>
      </c>
      <c r="AU4" s="2">
        <f>IF(VLOOKUP($O4,GW!$C:$AZ,'Pomocný'!AU$1,FALSE)=AU$14,1,0)</f>
        <v>0</v>
      </c>
      <c r="AV4" s="2">
        <f>IF(VLOOKUP($O4,GW!$C:$AZ,'Pomocný'!AV$1,FALSE)=AV$14,1,0)</f>
        <v>0</v>
      </c>
      <c r="AW4" s="2">
        <f>IF(VLOOKUP($O4,GW!$C:$AZ,'Pomocný'!AW$1,FALSE)=AW$14,1,0)</f>
        <v>0</v>
      </c>
      <c r="AX4" s="2">
        <f>IF(VLOOKUP($O4,GW!$C:$AZ,'Pomocný'!AX$1,FALSE)=AX$14,1,0)</f>
        <v>0</v>
      </c>
      <c r="AY4" s="2">
        <f>IF(VLOOKUP($O4,GW!$C:$AZ,'Pomocný'!AY$1,FALSE)=AY$14,1,0)</f>
        <v>0</v>
      </c>
      <c r="AZ4" s="2">
        <f>IF(VLOOKUP($O4,GW!$C:$AZ,'Pomocný'!AZ$1,FALSE)=AZ$14,1,0)</f>
        <v>1</v>
      </c>
      <c r="BA4" s="2">
        <f>IF(VLOOKUP($O4,GW!$C:$AZ,'Pomocný'!BA$1,FALSE)=BA$14,1,0)</f>
        <v>0</v>
      </c>
      <c r="BB4" s="2">
        <f>IF(VLOOKUP($O4,GW!$C:$AZ,'Pomocný'!BB$1,FALSE)=BB$14,1,0)</f>
        <v>0</v>
      </c>
    </row>
    <row r="5" ht="14.25" customHeight="1">
      <c r="B5" s="2" t="s">
        <v>67</v>
      </c>
      <c r="C5" s="2">
        <f>SUMPRODUCT(GW!$O$4:$AZ$14*(GW!$O$2:$AZ$2=C$2)*(GW!$C$4:$C$14=$B5))</f>
        <v>222</v>
      </c>
      <c r="D5" s="2">
        <f>SUMPRODUCT(GW!$O$4:$AZ$14*(GW!$O$2:$AZ$2=D$2)*(GW!$C$4:$C$14=$B5))</f>
        <v>181</v>
      </c>
      <c r="E5" s="2">
        <f>SUMPRODUCT(GW!$O$4:$AZ$14*(GW!$O$2:$AZ$2=E$2)*(GW!$C$4:$C$14=$B5))</f>
        <v>178</v>
      </c>
      <c r="F5" s="2">
        <f>SUMPRODUCT(GW!$O$4:$AZ$14*(GW!$O$2:$AZ$2=F$2)*(GW!$C$4:$C$14=$B5))</f>
        <v>256</v>
      </c>
      <c r="G5" s="2">
        <f>SUMPRODUCT(GW!$O$4:$AZ$14*(GW!$O$2:$AZ$2=G$2)*(GW!$C$4:$C$14=$B5))</f>
        <v>326</v>
      </c>
      <c r="H5" s="2">
        <f>SUMPRODUCT(GW!$O$4:$AZ$14*(GW!$O$2:$AZ$2=H$2)*(GW!$C$4:$C$14=$B5))</f>
        <v>266</v>
      </c>
      <c r="I5" s="2">
        <f>SUMPRODUCT(GW!$O$4:$AZ$14*(GW!$O$2:$AZ$2=I$2)*(GW!$C$4:$C$14=$B5))</f>
        <v>304</v>
      </c>
      <c r="J5" s="2">
        <f>SUMPRODUCT(GW!$O$4:$AZ$14*(GW!$O$2:$AZ$2=J$2)*(GW!$C$4:$C$14=$B5))</f>
        <v>121</v>
      </c>
      <c r="K5" s="2">
        <f>SUMPRODUCT(GW!$O$4:$AZ$14*(GW!$O$2:$AZ$2=K$2)*(GW!$C$4:$C$14=$B5))</f>
        <v>353</v>
      </c>
      <c r="L5" s="2">
        <f>SUMPRODUCT(GW!$O$4:$AZ$14*(GW!$O$2:$AZ$2=L$2)*(GW!$C$4:$C$14=$B5))</f>
        <v>208</v>
      </c>
      <c r="M5" s="2" t="s">
        <v>67</v>
      </c>
      <c r="O5" s="2" t="s">
        <v>67</v>
      </c>
      <c r="P5" s="2">
        <f t="shared" si="1"/>
        <v>8</v>
      </c>
      <c r="Q5" s="2">
        <f>IF(VLOOKUP($O5,GW!$C:$AZ,'Pomocný'!Q$1,FALSE)=Q$14,1,0)</f>
        <v>1</v>
      </c>
      <c r="R5" s="2">
        <f>IF(VLOOKUP($O5,GW!$C:$AZ,'Pomocný'!R$1,FALSE)=R$14,1,0)</f>
        <v>0</v>
      </c>
      <c r="S5" s="2">
        <f>IF(VLOOKUP($O5,GW!$C:$AZ,'Pomocný'!S$1,FALSE)=S$14,1,0)</f>
        <v>0</v>
      </c>
      <c r="T5" s="2">
        <f>IF(VLOOKUP($O5,GW!$C:$AZ,'Pomocný'!T$1,FALSE)=T$14,1,0)</f>
        <v>0</v>
      </c>
      <c r="U5" s="2">
        <f>IF(VLOOKUP($O5,GW!$C:$AZ,'Pomocný'!U$1,FALSE)=U$14,1,0)</f>
        <v>0</v>
      </c>
      <c r="V5" s="2">
        <f>IF(VLOOKUP($O5,GW!$C:$AZ,'Pomocný'!V$1,FALSE)=V$14,1,0)</f>
        <v>1</v>
      </c>
      <c r="W5" s="2">
        <f>IF(VLOOKUP($O5,GW!$C:$AZ,'Pomocný'!W$1,FALSE)=W$14,1,0)</f>
        <v>0</v>
      </c>
      <c r="X5" s="2">
        <f>IF(VLOOKUP($O5,GW!$C:$AZ,'Pomocný'!X$1,FALSE)=X$14,1,0)</f>
        <v>1</v>
      </c>
      <c r="Y5" s="2">
        <f>IF(VLOOKUP($O5,GW!$C:$AZ,'Pomocný'!Y$1,FALSE)=Y$14,1,0)</f>
        <v>0</v>
      </c>
      <c r="Z5" s="2">
        <f>IF(VLOOKUP($O5,GW!$C:$AZ,'Pomocný'!Z$1,FALSE)=Z$14,1,0)</f>
        <v>0</v>
      </c>
      <c r="AA5" s="2">
        <f>IF(VLOOKUP($O5,GW!$C:$AZ,'Pomocný'!AA$1,FALSE)=AA$14,1,0)</f>
        <v>1</v>
      </c>
      <c r="AB5" s="2">
        <f>IF(VLOOKUP($O5,GW!$C:$AZ,'Pomocný'!AB$1,FALSE)=AB$14,1,0)</f>
        <v>0</v>
      </c>
      <c r="AC5" s="2">
        <f>IF(VLOOKUP($O5,GW!$C:$AZ,'Pomocný'!AC$1,FALSE)=AC$14,1,0)</f>
        <v>0</v>
      </c>
      <c r="AD5" s="2">
        <f>IF(VLOOKUP($O5,GW!$C:$AZ,'Pomocný'!AD$1,FALSE)=AD$14,1,0)</f>
        <v>0</v>
      </c>
      <c r="AE5" s="2">
        <f>IF(VLOOKUP($O5,GW!$C:$AZ,'Pomocný'!AE$1,FALSE)=AE$14,1,0)</f>
        <v>0</v>
      </c>
      <c r="AF5" s="2">
        <f>IF(VLOOKUP($O5,GW!$C:$AZ,'Pomocný'!AF$1,FALSE)=AF$14,1,0)</f>
        <v>0</v>
      </c>
      <c r="AG5" s="2">
        <f>IF(VLOOKUP($O5,GW!$C:$AZ,'Pomocný'!AG$1,FALSE)=AG$14,1,0)</f>
        <v>0</v>
      </c>
      <c r="AH5" s="2">
        <f>IF(VLOOKUP($O5,GW!$C:$AZ,'Pomocný'!AH$1,FALSE)=AH$14,1,0)</f>
        <v>1</v>
      </c>
      <c r="AI5" s="2">
        <f>IF(VLOOKUP($O5,GW!$C:$AZ,'Pomocný'!AI$1,FALSE)=AI$14,1,0)</f>
        <v>0</v>
      </c>
      <c r="AJ5" s="2">
        <f>IF(VLOOKUP($O5,GW!$C:$AZ,'Pomocný'!AJ$1,FALSE)=AJ$14,1,0)</f>
        <v>0</v>
      </c>
      <c r="AK5" s="2">
        <f>IF(VLOOKUP($O5,GW!$C:$AZ,'Pomocný'!AK$1,FALSE)=AK$14,1,0)</f>
        <v>0</v>
      </c>
      <c r="AL5" s="2">
        <f>IF(VLOOKUP($O5,GW!$C:$AZ,'Pomocný'!AL$1,FALSE)=AL$14,1,0)</f>
        <v>0</v>
      </c>
      <c r="AM5" s="2">
        <f>IF(VLOOKUP($O5,GW!$C:$AZ,'Pomocný'!AM$1,FALSE)=AM$14,1,0)</f>
        <v>0</v>
      </c>
      <c r="AN5" s="2">
        <f>IF(VLOOKUP($O5,GW!$C:$AZ,'Pomocný'!AN$1,FALSE)=AN$14,1,0)</f>
        <v>0</v>
      </c>
      <c r="AO5" s="2">
        <f>IF(VLOOKUP($O5,GW!$C:$AZ,'Pomocný'!AO$1,FALSE)=AO$14,1,0)</f>
        <v>0</v>
      </c>
      <c r="AP5" s="2">
        <f>IF(VLOOKUP($O5,GW!$C:$AZ,'Pomocný'!AP$1,FALSE)=AP$14,1,0)</f>
        <v>0</v>
      </c>
      <c r="AQ5" s="2">
        <f>IF(VLOOKUP($O5,GW!$C:$AZ,'Pomocný'!AQ$1,FALSE)=AQ$14,1,0)</f>
        <v>0</v>
      </c>
      <c r="AR5" s="2">
        <f>IF(VLOOKUP($O5,GW!$C:$AZ,'Pomocný'!AR$1,FALSE)=AR$14,1,0)</f>
        <v>0</v>
      </c>
      <c r="AS5" s="2">
        <f>IF(VLOOKUP($O5,GW!$C:$AZ,'Pomocný'!AS$1,FALSE)=AS$14,1,0)</f>
        <v>0</v>
      </c>
      <c r="AT5" s="2">
        <f>IF(VLOOKUP($O5,GW!$C:$AZ,'Pomocný'!AT$1,FALSE)=AT$14,1,0)</f>
        <v>1</v>
      </c>
      <c r="AU5" s="2">
        <f>IF(VLOOKUP($O5,GW!$C:$AZ,'Pomocný'!AU$1,FALSE)=AU$14,1,0)</f>
        <v>1</v>
      </c>
      <c r="AV5" s="2">
        <f>IF(VLOOKUP($O5,GW!$C:$AZ,'Pomocný'!AV$1,FALSE)=AV$14,1,0)</f>
        <v>0</v>
      </c>
      <c r="AW5" s="2">
        <f>IF(VLOOKUP($O5,GW!$C:$AZ,'Pomocný'!AW$1,FALSE)=AW$14,1,0)</f>
        <v>0</v>
      </c>
      <c r="AX5" s="2">
        <f>IF(VLOOKUP($O5,GW!$C:$AZ,'Pomocný'!AX$1,FALSE)=AX$14,1,0)</f>
        <v>0</v>
      </c>
      <c r="AY5" s="2">
        <f>IF(VLOOKUP($O5,GW!$C:$AZ,'Pomocný'!AY$1,FALSE)=AY$14,1,0)</f>
        <v>1</v>
      </c>
      <c r="AZ5" s="2">
        <f>IF(VLOOKUP($O5,GW!$C:$AZ,'Pomocný'!AZ$1,FALSE)=AZ$14,1,0)</f>
        <v>0</v>
      </c>
      <c r="BA5" s="2">
        <f>IF(VLOOKUP($O5,GW!$C:$AZ,'Pomocný'!BA$1,FALSE)=BA$14,1,0)</f>
        <v>0</v>
      </c>
      <c r="BB5" s="2">
        <f>IF(VLOOKUP($O5,GW!$C:$AZ,'Pomocný'!BB$1,FALSE)=BB$14,1,0)</f>
        <v>0</v>
      </c>
    </row>
    <row r="6" ht="14.25" customHeight="1">
      <c r="B6" s="2" t="s">
        <v>76</v>
      </c>
      <c r="C6" s="2">
        <f>SUMPRODUCT(GW!$O$4:$AZ$14*(GW!$O$2:$AZ$2=C$2)*(GW!$C$4:$C$14=$B6))</f>
        <v>250</v>
      </c>
      <c r="D6" s="2">
        <f>SUMPRODUCT(GW!$O$4:$AZ$14*(GW!$O$2:$AZ$2=D$2)*(GW!$C$4:$C$14=$B6))</f>
        <v>155</v>
      </c>
      <c r="E6" s="2">
        <f>SUMPRODUCT(GW!$O$4:$AZ$14*(GW!$O$2:$AZ$2=E$2)*(GW!$C$4:$C$14=$B6))</f>
        <v>123</v>
      </c>
      <c r="F6" s="2">
        <f>SUMPRODUCT(GW!$O$4:$AZ$14*(GW!$O$2:$AZ$2=F$2)*(GW!$C$4:$C$14=$B6))</f>
        <v>190</v>
      </c>
      <c r="G6" s="2">
        <f>SUMPRODUCT(GW!$O$4:$AZ$14*(GW!$O$2:$AZ$2=G$2)*(GW!$C$4:$C$14=$B6))</f>
        <v>279</v>
      </c>
      <c r="H6" s="2">
        <f>SUMPRODUCT(GW!$O$4:$AZ$14*(GW!$O$2:$AZ$2=H$2)*(GW!$C$4:$C$14=$B6))</f>
        <v>206</v>
      </c>
      <c r="I6" s="2">
        <f>SUMPRODUCT(GW!$O$4:$AZ$14*(GW!$O$2:$AZ$2=I$2)*(GW!$C$4:$C$14=$B6))</f>
        <v>371</v>
      </c>
      <c r="J6" s="2">
        <f>SUMPRODUCT(GW!$O$4:$AZ$14*(GW!$O$2:$AZ$2=J$2)*(GW!$C$4:$C$14=$B6))</f>
        <v>150</v>
      </c>
      <c r="K6" s="2">
        <f>SUMPRODUCT(GW!$O$4:$AZ$14*(GW!$O$2:$AZ$2=K$2)*(GW!$C$4:$C$14=$B6))</f>
        <v>281</v>
      </c>
      <c r="L6" s="2">
        <f>SUMPRODUCT(GW!$O$4:$AZ$14*(GW!$O$2:$AZ$2=L$2)*(GW!$C$4:$C$14=$B6))</f>
        <v>218</v>
      </c>
      <c r="M6" s="2" t="s">
        <v>76</v>
      </c>
      <c r="O6" s="2" t="s">
        <v>76</v>
      </c>
      <c r="P6" s="2">
        <f t="shared" si="1"/>
        <v>4</v>
      </c>
      <c r="Q6" s="2">
        <f>IF(VLOOKUP($O6,GW!$C:$AZ,'Pomocný'!Q$1,FALSE)=Q$14,1,0)</f>
        <v>0</v>
      </c>
      <c r="R6" s="2">
        <f>IF(VLOOKUP($O6,GW!$C:$AZ,'Pomocný'!R$1,FALSE)=R$14,1,0)</f>
        <v>0</v>
      </c>
      <c r="S6" s="2">
        <f>IF(VLOOKUP($O6,GW!$C:$AZ,'Pomocný'!S$1,FALSE)=S$14,1,0)</f>
        <v>0</v>
      </c>
      <c r="T6" s="2">
        <f>IF(VLOOKUP($O6,GW!$C:$AZ,'Pomocný'!T$1,FALSE)=T$14,1,0)</f>
        <v>0</v>
      </c>
      <c r="U6" s="2">
        <f>IF(VLOOKUP($O6,GW!$C:$AZ,'Pomocný'!U$1,FALSE)=U$14,1,0)</f>
        <v>0</v>
      </c>
      <c r="V6" s="2">
        <f>IF(VLOOKUP($O6,GW!$C:$AZ,'Pomocný'!V$1,FALSE)=V$14,1,0)</f>
        <v>0</v>
      </c>
      <c r="W6" s="2">
        <f>IF(VLOOKUP($O6,GW!$C:$AZ,'Pomocný'!W$1,FALSE)=W$14,1,0)</f>
        <v>0</v>
      </c>
      <c r="X6" s="2">
        <f>IF(VLOOKUP($O6,GW!$C:$AZ,'Pomocný'!X$1,FALSE)=X$14,1,0)</f>
        <v>0</v>
      </c>
      <c r="Y6" s="2">
        <f>IF(VLOOKUP($O6,GW!$C:$AZ,'Pomocný'!Y$1,FALSE)=Y$14,1,0)</f>
        <v>0</v>
      </c>
      <c r="Z6" s="2">
        <f>IF(VLOOKUP($O6,GW!$C:$AZ,'Pomocný'!Z$1,FALSE)=Z$14,1,0)</f>
        <v>0</v>
      </c>
      <c r="AA6" s="2">
        <f>IF(VLOOKUP($O6,GW!$C:$AZ,'Pomocný'!AA$1,FALSE)=AA$14,1,0)</f>
        <v>0</v>
      </c>
      <c r="AB6" s="2">
        <f>IF(VLOOKUP($O6,GW!$C:$AZ,'Pomocný'!AB$1,FALSE)=AB$14,1,0)</f>
        <v>0</v>
      </c>
      <c r="AC6" s="2">
        <f>IF(VLOOKUP($O6,GW!$C:$AZ,'Pomocný'!AC$1,FALSE)=AC$14,1,0)</f>
        <v>1</v>
      </c>
      <c r="AD6" s="2">
        <f>IF(VLOOKUP($O6,GW!$C:$AZ,'Pomocný'!AD$1,FALSE)=AD$14,1,0)</f>
        <v>0</v>
      </c>
      <c r="AE6" s="2">
        <f>IF(VLOOKUP($O6,GW!$C:$AZ,'Pomocný'!AE$1,FALSE)=AE$14,1,0)</f>
        <v>0</v>
      </c>
      <c r="AF6" s="2">
        <f>IF(VLOOKUP($O6,GW!$C:$AZ,'Pomocný'!AF$1,FALSE)=AF$14,1,0)</f>
        <v>0</v>
      </c>
      <c r="AG6" s="2">
        <f>IF(VLOOKUP($O6,GW!$C:$AZ,'Pomocný'!AG$1,FALSE)=AG$14,1,0)</f>
        <v>0</v>
      </c>
      <c r="AH6" s="2">
        <f>IF(VLOOKUP($O6,GW!$C:$AZ,'Pomocný'!AH$1,FALSE)=AH$14,1,0)</f>
        <v>0</v>
      </c>
      <c r="AI6" s="2">
        <f>IF(VLOOKUP($O6,GW!$C:$AZ,'Pomocný'!AI$1,FALSE)=AI$14,1,0)</f>
        <v>0</v>
      </c>
      <c r="AJ6" s="2">
        <f>IF(VLOOKUP($O6,GW!$C:$AZ,'Pomocný'!AJ$1,FALSE)=AJ$14,1,0)</f>
        <v>0</v>
      </c>
      <c r="AK6" s="2">
        <f>IF(VLOOKUP($O6,GW!$C:$AZ,'Pomocný'!AK$1,FALSE)=AK$14,1,0)</f>
        <v>0</v>
      </c>
      <c r="AL6" s="2">
        <f>IF(VLOOKUP($O6,GW!$C:$AZ,'Pomocný'!AL$1,FALSE)=AL$14,1,0)</f>
        <v>0</v>
      </c>
      <c r="AM6" s="2">
        <f>IF(VLOOKUP($O6,GW!$C:$AZ,'Pomocný'!AM$1,FALSE)=AM$14,1,0)</f>
        <v>0</v>
      </c>
      <c r="AN6" s="2">
        <f>IF(VLOOKUP($O6,GW!$C:$AZ,'Pomocný'!AN$1,FALSE)=AN$14,1,0)</f>
        <v>1</v>
      </c>
      <c r="AO6" s="2">
        <f>IF(VLOOKUP($O6,GW!$C:$AZ,'Pomocný'!AO$1,FALSE)=AO$14,1,0)</f>
        <v>0</v>
      </c>
      <c r="AP6" s="2">
        <f>IF(VLOOKUP($O6,GW!$C:$AZ,'Pomocný'!AP$1,FALSE)=AP$14,1,0)</f>
        <v>0</v>
      </c>
      <c r="AQ6" s="2">
        <f>IF(VLOOKUP($O6,GW!$C:$AZ,'Pomocný'!AQ$1,FALSE)=AQ$14,1,0)</f>
        <v>1</v>
      </c>
      <c r="AR6" s="2">
        <f>IF(VLOOKUP($O6,GW!$C:$AZ,'Pomocný'!AR$1,FALSE)=AR$14,1,0)</f>
        <v>0</v>
      </c>
      <c r="AS6" s="2">
        <f>IF(VLOOKUP($O6,GW!$C:$AZ,'Pomocný'!AS$1,FALSE)=AS$14,1,0)</f>
        <v>1</v>
      </c>
      <c r="AT6" s="2">
        <f>IF(VLOOKUP($O6,GW!$C:$AZ,'Pomocný'!AT$1,FALSE)=AT$14,1,0)</f>
        <v>0</v>
      </c>
      <c r="AU6" s="2">
        <f>IF(VLOOKUP($O6,GW!$C:$AZ,'Pomocný'!AU$1,FALSE)=AU$14,1,0)</f>
        <v>0</v>
      </c>
      <c r="AV6" s="2">
        <f>IF(VLOOKUP($O6,GW!$C:$AZ,'Pomocný'!AV$1,FALSE)=AV$14,1,0)</f>
        <v>0</v>
      </c>
      <c r="AW6" s="2">
        <f>IF(VLOOKUP($O6,GW!$C:$AZ,'Pomocný'!AW$1,FALSE)=AW$14,1,0)</f>
        <v>0</v>
      </c>
      <c r="AX6" s="2">
        <f>IF(VLOOKUP($O6,GW!$C:$AZ,'Pomocný'!AX$1,FALSE)=AX$14,1,0)</f>
        <v>0</v>
      </c>
      <c r="AY6" s="2">
        <f>IF(VLOOKUP($O6,GW!$C:$AZ,'Pomocný'!AY$1,FALSE)=AY$14,1,0)</f>
        <v>0</v>
      </c>
      <c r="AZ6" s="2">
        <f>IF(VLOOKUP($O6,GW!$C:$AZ,'Pomocný'!AZ$1,FALSE)=AZ$14,1,0)</f>
        <v>0</v>
      </c>
      <c r="BA6" s="2">
        <f>IF(VLOOKUP($O6,GW!$C:$AZ,'Pomocný'!BA$1,FALSE)=BA$14,1,0)</f>
        <v>0</v>
      </c>
      <c r="BB6" s="2">
        <f>IF(VLOOKUP($O6,GW!$C:$AZ,'Pomocný'!BB$1,FALSE)=BB$14,1,0)</f>
        <v>0</v>
      </c>
    </row>
    <row r="7" ht="14.25" customHeight="1">
      <c r="B7" s="2" t="s">
        <v>64</v>
      </c>
      <c r="C7" s="2">
        <f>SUMPRODUCT(GW!$O$4:$AZ$14*(GW!$O$2:$AZ$2=C$2)*(GW!$C$4:$C$14=$B7))</f>
        <v>218</v>
      </c>
      <c r="D7" s="2">
        <f>SUMPRODUCT(GW!$O$4:$AZ$14*(GW!$O$2:$AZ$2=D$2)*(GW!$C$4:$C$14=$B7))</f>
        <v>180</v>
      </c>
      <c r="E7" s="2">
        <f>SUMPRODUCT(GW!$O$4:$AZ$14*(GW!$O$2:$AZ$2=E$2)*(GW!$C$4:$C$14=$B7))</f>
        <v>165</v>
      </c>
      <c r="F7" s="2">
        <f>SUMPRODUCT(GW!$O$4:$AZ$14*(GW!$O$2:$AZ$2=F$2)*(GW!$C$4:$C$14=$B7))</f>
        <v>246</v>
      </c>
      <c r="G7" s="2">
        <f>SUMPRODUCT(GW!$O$4:$AZ$14*(GW!$O$2:$AZ$2=G$2)*(GW!$C$4:$C$14=$B7))</f>
        <v>391</v>
      </c>
      <c r="H7" s="2">
        <f>SUMPRODUCT(GW!$O$4:$AZ$14*(GW!$O$2:$AZ$2=H$2)*(GW!$C$4:$C$14=$B7))</f>
        <v>240</v>
      </c>
      <c r="I7" s="2">
        <f>SUMPRODUCT(GW!$O$4:$AZ$14*(GW!$O$2:$AZ$2=I$2)*(GW!$C$4:$C$14=$B7))</f>
        <v>354</v>
      </c>
      <c r="J7" s="2">
        <f>SUMPRODUCT(GW!$O$4:$AZ$14*(GW!$O$2:$AZ$2=J$2)*(GW!$C$4:$C$14=$B7))</f>
        <v>94</v>
      </c>
      <c r="K7" s="2">
        <f>SUMPRODUCT(GW!$O$4:$AZ$14*(GW!$O$2:$AZ$2=K$2)*(GW!$C$4:$C$14=$B7))</f>
        <v>333</v>
      </c>
      <c r="L7" s="2">
        <f>SUMPRODUCT(GW!$O$4:$AZ$14*(GW!$O$2:$AZ$2=L$2)*(GW!$C$4:$C$14=$B7))</f>
        <v>236</v>
      </c>
      <c r="M7" s="2" t="s">
        <v>64</v>
      </c>
      <c r="O7" s="2" t="s">
        <v>64</v>
      </c>
      <c r="P7" s="2">
        <f t="shared" si="1"/>
        <v>4</v>
      </c>
      <c r="Q7" s="2">
        <f>IF(VLOOKUP($O7,GW!$C:$AZ,'Pomocný'!Q$1,FALSE)=Q$14,1,0)</f>
        <v>0</v>
      </c>
      <c r="R7" s="2">
        <f>IF(VLOOKUP($O7,GW!$C:$AZ,'Pomocný'!R$1,FALSE)=R$14,1,0)</f>
        <v>0</v>
      </c>
      <c r="S7" s="2">
        <f>IF(VLOOKUP($O7,GW!$C:$AZ,'Pomocný'!S$1,FALSE)=S$14,1,0)</f>
        <v>0</v>
      </c>
      <c r="T7" s="2">
        <f>IF(VLOOKUP($O7,GW!$C:$AZ,'Pomocný'!T$1,FALSE)=T$14,1,0)</f>
        <v>0</v>
      </c>
      <c r="U7" s="2">
        <f>IF(VLOOKUP($O7,GW!$C:$AZ,'Pomocný'!U$1,FALSE)=U$14,1,0)</f>
        <v>0</v>
      </c>
      <c r="V7" s="2">
        <f>IF(VLOOKUP($O7,GW!$C:$AZ,'Pomocný'!V$1,FALSE)=V$14,1,0)</f>
        <v>0</v>
      </c>
      <c r="W7" s="2">
        <f>IF(VLOOKUP($O7,GW!$C:$AZ,'Pomocný'!W$1,FALSE)=W$14,1,0)</f>
        <v>0</v>
      </c>
      <c r="X7" s="2">
        <f>IF(VLOOKUP($O7,GW!$C:$AZ,'Pomocný'!X$1,FALSE)=X$14,1,0)</f>
        <v>0</v>
      </c>
      <c r="Y7" s="2">
        <f>IF(VLOOKUP($O7,GW!$C:$AZ,'Pomocný'!Y$1,FALSE)=Y$14,1,0)</f>
        <v>1</v>
      </c>
      <c r="Z7" s="2">
        <f>IF(VLOOKUP($O7,GW!$C:$AZ,'Pomocný'!Z$1,FALSE)=Z$14,1,0)</f>
        <v>0</v>
      </c>
      <c r="AA7" s="2">
        <f>IF(VLOOKUP($O7,GW!$C:$AZ,'Pomocný'!AA$1,FALSE)=AA$14,1,0)</f>
        <v>0</v>
      </c>
      <c r="AB7" s="2">
        <f>IF(VLOOKUP($O7,GW!$C:$AZ,'Pomocný'!AB$1,FALSE)=AB$14,1,0)</f>
        <v>0</v>
      </c>
      <c r="AC7" s="2">
        <f>IF(VLOOKUP($O7,GW!$C:$AZ,'Pomocný'!AC$1,FALSE)=AC$14,1,0)</f>
        <v>0</v>
      </c>
      <c r="AD7" s="2">
        <f>IF(VLOOKUP($O7,GW!$C:$AZ,'Pomocný'!AD$1,FALSE)=AD$14,1,0)</f>
        <v>0</v>
      </c>
      <c r="AE7" s="2">
        <f>IF(VLOOKUP($O7,GW!$C:$AZ,'Pomocný'!AE$1,FALSE)=AE$14,1,0)</f>
        <v>0</v>
      </c>
      <c r="AF7" s="2">
        <f>IF(VLOOKUP($O7,GW!$C:$AZ,'Pomocný'!AF$1,FALSE)=AF$14,1,0)</f>
        <v>0</v>
      </c>
      <c r="AG7" s="2">
        <f>IF(VLOOKUP($O7,GW!$C:$AZ,'Pomocný'!AG$1,FALSE)=AG$14,1,0)</f>
        <v>1</v>
      </c>
      <c r="AH7" s="2">
        <f>IF(VLOOKUP($O7,GW!$C:$AZ,'Pomocný'!AH$1,FALSE)=AH$14,1,0)</f>
        <v>0</v>
      </c>
      <c r="AI7" s="2">
        <f>IF(VLOOKUP($O7,GW!$C:$AZ,'Pomocný'!AI$1,FALSE)=AI$14,1,0)</f>
        <v>0</v>
      </c>
      <c r="AJ7" s="2">
        <f>IF(VLOOKUP($O7,GW!$C:$AZ,'Pomocný'!AJ$1,FALSE)=AJ$14,1,0)</f>
        <v>0</v>
      </c>
      <c r="AK7" s="2">
        <f>IF(VLOOKUP($O7,GW!$C:$AZ,'Pomocný'!AK$1,FALSE)=AK$14,1,0)</f>
        <v>0</v>
      </c>
      <c r="AL7" s="2">
        <f>IF(VLOOKUP($O7,GW!$C:$AZ,'Pomocný'!AL$1,FALSE)=AL$14,1,0)</f>
        <v>0</v>
      </c>
      <c r="AM7" s="2">
        <f>IF(VLOOKUP($O7,GW!$C:$AZ,'Pomocný'!AM$1,FALSE)=AM$14,1,0)</f>
        <v>0</v>
      </c>
      <c r="AN7" s="2">
        <f>IF(VLOOKUP($O7,GW!$C:$AZ,'Pomocný'!AN$1,FALSE)=AN$14,1,0)</f>
        <v>0</v>
      </c>
      <c r="AO7" s="2">
        <f>IF(VLOOKUP($O7,GW!$C:$AZ,'Pomocný'!AO$1,FALSE)=AO$14,1,0)</f>
        <v>0</v>
      </c>
      <c r="AP7" s="2">
        <f>IF(VLOOKUP($O7,GW!$C:$AZ,'Pomocný'!AP$1,FALSE)=AP$14,1,0)</f>
        <v>0</v>
      </c>
      <c r="AQ7" s="2">
        <f>IF(VLOOKUP($O7,GW!$C:$AZ,'Pomocný'!AQ$1,FALSE)=AQ$14,1,0)</f>
        <v>0</v>
      </c>
      <c r="AR7" s="2">
        <f>IF(VLOOKUP($O7,GW!$C:$AZ,'Pomocný'!AR$1,FALSE)=AR$14,1,0)</f>
        <v>0</v>
      </c>
      <c r="AS7" s="2">
        <f>IF(VLOOKUP($O7,GW!$C:$AZ,'Pomocný'!AS$1,FALSE)=AS$14,1,0)</f>
        <v>0</v>
      </c>
      <c r="AT7" s="2">
        <f>IF(VLOOKUP($O7,GW!$C:$AZ,'Pomocný'!AT$1,FALSE)=AT$14,1,0)</f>
        <v>0</v>
      </c>
      <c r="AU7" s="2">
        <f>IF(VLOOKUP($O7,GW!$C:$AZ,'Pomocný'!AU$1,FALSE)=AU$14,1,0)</f>
        <v>0</v>
      </c>
      <c r="AV7" s="2">
        <f>IF(VLOOKUP($O7,GW!$C:$AZ,'Pomocný'!AV$1,FALSE)=AV$14,1,0)</f>
        <v>0</v>
      </c>
      <c r="AW7" s="2">
        <f>IF(VLOOKUP($O7,GW!$C:$AZ,'Pomocný'!AW$1,FALSE)=AW$14,1,0)</f>
        <v>0</v>
      </c>
      <c r="AX7" s="2">
        <f>IF(VLOOKUP($O7,GW!$C:$AZ,'Pomocný'!AX$1,FALSE)=AX$14,1,0)</f>
        <v>0</v>
      </c>
      <c r="AY7" s="2">
        <f>IF(VLOOKUP($O7,GW!$C:$AZ,'Pomocný'!AY$1,FALSE)=AY$14,1,0)</f>
        <v>0</v>
      </c>
      <c r="AZ7" s="2">
        <f>IF(VLOOKUP($O7,GW!$C:$AZ,'Pomocný'!AZ$1,FALSE)=AZ$14,1,0)</f>
        <v>0</v>
      </c>
      <c r="BA7" s="2">
        <f>IF(VLOOKUP($O7,GW!$C:$AZ,'Pomocný'!BA$1,FALSE)=BA$14,1,0)</f>
        <v>1</v>
      </c>
      <c r="BB7" s="2">
        <f>IF(VLOOKUP($O7,GW!$C:$AZ,'Pomocný'!BB$1,FALSE)=BB$14,1,0)</f>
        <v>1</v>
      </c>
    </row>
    <row r="8" ht="14.25" customHeight="1">
      <c r="B8" s="2" t="s">
        <v>69</v>
      </c>
      <c r="C8" s="2">
        <f>SUMPRODUCT(GW!$O$4:$AZ$14*(GW!$O$2:$AZ$2=C$2)*(GW!$C$4:$C$14=$B8))</f>
        <v>215</v>
      </c>
      <c r="D8" s="2">
        <f>SUMPRODUCT(GW!$O$4:$AZ$14*(GW!$O$2:$AZ$2=D$2)*(GW!$C$4:$C$14=$B8))</f>
        <v>166</v>
      </c>
      <c r="E8" s="2">
        <f>SUMPRODUCT(GW!$O$4:$AZ$14*(GW!$O$2:$AZ$2=E$2)*(GW!$C$4:$C$14=$B8))</f>
        <v>134</v>
      </c>
      <c r="F8" s="2">
        <f>SUMPRODUCT(GW!$O$4:$AZ$14*(GW!$O$2:$AZ$2=F$2)*(GW!$C$4:$C$14=$B8))</f>
        <v>179</v>
      </c>
      <c r="G8" s="2">
        <f>SUMPRODUCT(GW!$O$4:$AZ$14*(GW!$O$2:$AZ$2=G$2)*(GW!$C$4:$C$14=$B8))</f>
        <v>385</v>
      </c>
      <c r="H8" s="2">
        <f>SUMPRODUCT(GW!$O$4:$AZ$14*(GW!$O$2:$AZ$2=H$2)*(GW!$C$4:$C$14=$B8))</f>
        <v>236</v>
      </c>
      <c r="I8" s="2">
        <f>SUMPRODUCT(GW!$O$4:$AZ$14*(GW!$O$2:$AZ$2=I$2)*(GW!$C$4:$C$14=$B8))</f>
        <v>333</v>
      </c>
      <c r="J8" s="2">
        <f>SUMPRODUCT(GW!$O$4:$AZ$14*(GW!$O$2:$AZ$2=J$2)*(GW!$C$4:$C$14=$B8))</f>
        <v>127</v>
      </c>
      <c r="K8" s="2">
        <f>SUMPRODUCT(GW!$O$4:$AZ$14*(GW!$O$2:$AZ$2=K$2)*(GW!$C$4:$C$14=$B8))</f>
        <v>363</v>
      </c>
      <c r="L8" s="2">
        <f>SUMPRODUCT(GW!$O$4:$AZ$14*(GW!$O$2:$AZ$2=L$2)*(GW!$C$4:$C$14=$B8))</f>
        <v>210</v>
      </c>
      <c r="M8" s="2" t="s">
        <v>69</v>
      </c>
      <c r="O8" s="2" t="s">
        <v>69</v>
      </c>
      <c r="P8" s="2">
        <f t="shared" si="1"/>
        <v>4</v>
      </c>
      <c r="Q8" s="2">
        <f>IF(VLOOKUP($O8,GW!$C:$AZ,'Pomocný'!Q$1,FALSE)=Q$14,1,0)</f>
        <v>0</v>
      </c>
      <c r="R8" s="2">
        <f>IF(VLOOKUP($O8,GW!$C:$AZ,'Pomocný'!R$1,FALSE)=R$14,1,0)</f>
        <v>0</v>
      </c>
      <c r="S8" s="2">
        <f>IF(VLOOKUP($O8,GW!$C:$AZ,'Pomocný'!S$1,FALSE)=S$14,1,0)</f>
        <v>0</v>
      </c>
      <c r="T8" s="2">
        <f>IF(VLOOKUP($O8,GW!$C:$AZ,'Pomocný'!T$1,FALSE)=T$14,1,0)</f>
        <v>1</v>
      </c>
      <c r="U8" s="2">
        <f>IF(VLOOKUP($O8,GW!$C:$AZ,'Pomocný'!U$1,FALSE)=U$14,1,0)</f>
        <v>0</v>
      </c>
      <c r="V8" s="2">
        <f>IF(VLOOKUP($O8,GW!$C:$AZ,'Pomocný'!V$1,FALSE)=V$14,1,0)</f>
        <v>0</v>
      </c>
      <c r="W8" s="2">
        <f>IF(VLOOKUP($O8,GW!$C:$AZ,'Pomocný'!W$1,FALSE)=W$14,1,0)</f>
        <v>0</v>
      </c>
      <c r="X8" s="2">
        <f>IF(VLOOKUP($O8,GW!$C:$AZ,'Pomocný'!X$1,FALSE)=X$14,1,0)</f>
        <v>0</v>
      </c>
      <c r="Y8" s="2">
        <f>IF(VLOOKUP($O8,GW!$C:$AZ,'Pomocný'!Y$1,FALSE)=Y$14,1,0)</f>
        <v>0</v>
      </c>
      <c r="Z8" s="2">
        <f>IF(VLOOKUP($O8,GW!$C:$AZ,'Pomocný'!Z$1,FALSE)=Z$14,1,0)</f>
        <v>0</v>
      </c>
      <c r="AA8" s="2">
        <f>IF(VLOOKUP($O8,GW!$C:$AZ,'Pomocný'!AA$1,FALSE)=AA$14,1,0)</f>
        <v>0</v>
      </c>
      <c r="AB8" s="2">
        <f>IF(VLOOKUP($O8,GW!$C:$AZ,'Pomocný'!AB$1,FALSE)=AB$14,1,0)</f>
        <v>0</v>
      </c>
      <c r="AC8" s="2">
        <f>IF(VLOOKUP($O8,GW!$C:$AZ,'Pomocný'!AC$1,FALSE)=AC$14,1,0)</f>
        <v>0</v>
      </c>
      <c r="AD8" s="2">
        <f>IF(VLOOKUP($O8,GW!$C:$AZ,'Pomocný'!AD$1,FALSE)=AD$14,1,0)</f>
        <v>0</v>
      </c>
      <c r="AE8" s="2">
        <f>IF(VLOOKUP($O8,GW!$C:$AZ,'Pomocný'!AE$1,FALSE)=AE$14,1,0)</f>
        <v>0</v>
      </c>
      <c r="AF8" s="2">
        <f>IF(VLOOKUP($O8,GW!$C:$AZ,'Pomocný'!AF$1,FALSE)=AF$14,1,0)</f>
        <v>0</v>
      </c>
      <c r="AG8" s="2">
        <f>IF(VLOOKUP($O8,GW!$C:$AZ,'Pomocný'!AG$1,FALSE)=AG$14,1,0)</f>
        <v>0</v>
      </c>
      <c r="AH8" s="2">
        <f>IF(VLOOKUP($O8,GW!$C:$AZ,'Pomocný'!AH$1,FALSE)=AH$14,1,0)</f>
        <v>0</v>
      </c>
      <c r="AI8" s="2">
        <f>IF(VLOOKUP($O8,GW!$C:$AZ,'Pomocný'!AI$1,FALSE)=AI$14,1,0)</f>
        <v>1</v>
      </c>
      <c r="AJ8" s="2">
        <f>IF(VLOOKUP($O8,GW!$C:$AZ,'Pomocný'!AJ$1,FALSE)=AJ$14,1,0)</f>
        <v>0</v>
      </c>
      <c r="AK8" s="2">
        <f>IF(VLOOKUP($O8,GW!$C:$AZ,'Pomocný'!AK$1,FALSE)=AK$14,1,0)</f>
        <v>0</v>
      </c>
      <c r="AL8" s="2">
        <f>IF(VLOOKUP($O8,GW!$C:$AZ,'Pomocný'!AL$1,FALSE)=AL$14,1,0)</f>
        <v>0</v>
      </c>
      <c r="AM8" s="2">
        <f>IF(VLOOKUP($O8,GW!$C:$AZ,'Pomocný'!AM$1,FALSE)=AM$14,1,0)</f>
        <v>0</v>
      </c>
      <c r="AN8" s="2">
        <f>IF(VLOOKUP($O8,GW!$C:$AZ,'Pomocný'!AN$1,FALSE)=AN$14,1,0)</f>
        <v>0</v>
      </c>
      <c r="AO8" s="2">
        <f>IF(VLOOKUP($O8,GW!$C:$AZ,'Pomocný'!AO$1,FALSE)=AO$14,1,0)</f>
        <v>0</v>
      </c>
      <c r="AP8" s="2">
        <f>IF(VLOOKUP($O8,GW!$C:$AZ,'Pomocný'!AP$1,FALSE)=AP$14,1,0)</f>
        <v>0</v>
      </c>
      <c r="AQ8" s="2">
        <f>IF(VLOOKUP($O8,GW!$C:$AZ,'Pomocný'!AQ$1,FALSE)=AQ$14,1,0)</f>
        <v>1</v>
      </c>
      <c r="AR8" s="2">
        <f>IF(VLOOKUP($O8,GW!$C:$AZ,'Pomocný'!AR$1,FALSE)=AR$14,1,0)</f>
        <v>0</v>
      </c>
      <c r="AS8" s="2">
        <f>IF(VLOOKUP($O8,GW!$C:$AZ,'Pomocný'!AS$1,FALSE)=AS$14,1,0)</f>
        <v>0</v>
      </c>
      <c r="AT8" s="2">
        <f>IF(VLOOKUP($O8,GW!$C:$AZ,'Pomocný'!AT$1,FALSE)=AT$14,1,0)</f>
        <v>0</v>
      </c>
      <c r="AU8" s="2">
        <f>IF(VLOOKUP($O8,GW!$C:$AZ,'Pomocný'!AU$1,FALSE)=AU$14,1,0)</f>
        <v>0</v>
      </c>
      <c r="AV8" s="2">
        <f>IF(VLOOKUP($O8,GW!$C:$AZ,'Pomocný'!AV$1,FALSE)=AV$14,1,0)</f>
        <v>0</v>
      </c>
      <c r="AW8" s="2">
        <f>IF(VLOOKUP($O8,GW!$C:$AZ,'Pomocný'!AW$1,FALSE)=AW$14,1,0)</f>
        <v>0</v>
      </c>
      <c r="AX8" s="2">
        <f>IF(VLOOKUP($O8,GW!$C:$AZ,'Pomocný'!AX$1,FALSE)=AX$14,1,0)</f>
        <v>1</v>
      </c>
      <c r="AY8" s="2">
        <f>IF(VLOOKUP($O8,GW!$C:$AZ,'Pomocný'!AY$1,FALSE)=AY$14,1,0)</f>
        <v>0</v>
      </c>
      <c r="AZ8" s="2">
        <f>IF(VLOOKUP($O8,GW!$C:$AZ,'Pomocný'!AZ$1,FALSE)=AZ$14,1,0)</f>
        <v>0</v>
      </c>
      <c r="BA8" s="2">
        <f>IF(VLOOKUP($O8,GW!$C:$AZ,'Pomocný'!BA$1,FALSE)=BA$14,1,0)</f>
        <v>0</v>
      </c>
      <c r="BB8" s="2">
        <f>IF(VLOOKUP($O8,GW!$C:$AZ,'Pomocný'!BB$1,FALSE)=BB$14,1,0)</f>
        <v>0</v>
      </c>
    </row>
    <row r="9" ht="14.25" customHeight="1">
      <c r="B9" s="2" t="s">
        <v>71</v>
      </c>
      <c r="C9" s="2">
        <f>SUMPRODUCT(GW!$O$4:$AZ$14*(GW!$O$2:$AZ$2=C$2)*(GW!$C$4:$C$14=$B9))</f>
        <v>175</v>
      </c>
      <c r="D9" s="2">
        <f>SUMPRODUCT(GW!$O$4:$AZ$14*(GW!$O$2:$AZ$2=D$2)*(GW!$C$4:$C$14=$B9))</f>
        <v>170</v>
      </c>
      <c r="E9" s="2">
        <f>SUMPRODUCT(GW!$O$4:$AZ$14*(GW!$O$2:$AZ$2=E$2)*(GW!$C$4:$C$14=$B9))</f>
        <v>151</v>
      </c>
      <c r="F9" s="2">
        <f>SUMPRODUCT(GW!$O$4:$AZ$14*(GW!$O$2:$AZ$2=F$2)*(GW!$C$4:$C$14=$B9))</f>
        <v>177</v>
      </c>
      <c r="G9" s="2">
        <f>SUMPRODUCT(GW!$O$4:$AZ$14*(GW!$O$2:$AZ$2=G$2)*(GW!$C$4:$C$14=$B9))</f>
        <v>384</v>
      </c>
      <c r="H9" s="2">
        <f>SUMPRODUCT(GW!$O$4:$AZ$14*(GW!$O$2:$AZ$2=H$2)*(GW!$C$4:$C$14=$B9))</f>
        <v>252</v>
      </c>
      <c r="I9" s="2">
        <f>SUMPRODUCT(GW!$O$4:$AZ$14*(GW!$O$2:$AZ$2=I$2)*(GW!$C$4:$C$14=$B9))</f>
        <v>331</v>
      </c>
      <c r="J9" s="2">
        <f>SUMPRODUCT(GW!$O$4:$AZ$14*(GW!$O$2:$AZ$2=J$2)*(GW!$C$4:$C$14=$B9))</f>
        <v>121</v>
      </c>
      <c r="K9" s="2">
        <f>SUMPRODUCT(GW!$O$4:$AZ$14*(GW!$O$2:$AZ$2=K$2)*(GW!$C$4:$C$14=$B9))</f>
        <v>289</v>
      </c>
      <c r="L9" s="2">
        <f>SUMPRODUCT(GW!$O$4:$AZ$14*(GW!$O$2:$AZ$2=L$2)*(GW!$C$4:$C$14=$B9))</f>
        <v>205</v>
      </c>
      <c r="M9" s="2" t="s">
        <v>71</v>
      </c>
      <c r="O9" s="2" t="s">
        <v>71</v>
      </c>
      <c r="P9" s="2">
        <f t="shared" si="1"/>
        <v>4</v>
      </c>
      <c r="Q9" s="2">
        <f>IF(VLOOKUP($O9,GW!$C:$AZ,'Pomocný'!Q$1,FALSE)=Q$14,1,0)</f>
        <v>0</v>
      </c>
      <c r="R9" s="2">
        <f>IF(VLOOKUP($O9,GW!$C:$AZ,'Pomocný'!R$1,FALSE)=R$14,1,0)</f>
        <v>0</v>
      </c>
      <c r="S9" s="2">
        <f>IF(VLOOKUP($O9,GW!$C:$AZ,'Pomocný'!S$1,FALSE)=S$14,1,0)</f>
        <v>0</v>
      </c>
      <c r="T9" s="2">
        <f>IF(VLOOKUP($O9,GW!$C:$AZ,'Pomocný'!T$1,FALSE)=T$14,1,0)</f>
        <v>0</v>
      </c>
      <c r="U9" s="2">
        <f>IF(VLOOKUP($O9,GW!$C:$AZ,'Pomocný'!U$1,FALSE)=U$14,1,0)</f>
        <v>0</v>
      </c>
      <c r="V9" s="2">
        <f>IF(VLOOKUP($O9,GW!$C:$AZ,'Pomocný'!V$1,FALSE)=V$14,1,0)</f>
        <v>0</v>
      </c>
      <c r="W9" s="2">
        <f>IF(VLOOKUP($O9,GW!$C:$AZ,'Pomocný'!W$1,FALSE)=W$14,1,0)</f>
        <v>0</v>
      </c>
      <c r="X9" s="2">
        <f>IF(VLOOKUP($O9,GW!$C:$AZ,'Pomocný'!X$1,FALSE)=X$14,1,0)</f>
        <v>0</v>
      </c>
      <c r="Y9" s="2">
        <f>IF(VLOOKUP($O9,GW!$C:$AZ,'Pomocný'!Y$1,FALSE)=Y$14,1,0)</f>
        <v>0</v>
      </c>
      <c r="Z9" s="2">
        <f>IF(VLOOKUP($O9,GW!$C:$AZ,'Pomocný'!Z$1,FALSE)=Z$14,1,0)</f>
        <v>0</v>
      </c>
      <c r="AA9" s="2">
        <f>IF(VLOOKUP($O9,GW!$C:$AZ,'Pomocný'!AA$1,FALSE)=AA$14,1,0)</f>
        <v>0</v>
      </c>
      <c r="AB9" s="2">
        <f>IF(VLOOKUP($O9,GW!$C:$AZ,'Pomocný'!AB$1,FALSE)=AB$14,1,0)</f>
        <v>0</v>
      </c>
      <c r="AC9" s="2">
        <f>IF(VLOOKUP($O9,GW!$C:$AZ,'Pomocný'!AC$1,FALSE)=AC$14,1,0)</f>
        <v>0</v>
      </c>
      <c r="AD9" s="2">
        <f>IF(VLOOKUP($O9,GW!$C:$AZ,'Pomocný'!AD$1,FALSE)=AD$14,1,0)</f>
        <v>0</v>
      </c>
      <c r="AE9" s="2">
        <f>IF(VLOOKUP($O9,GW!$C:$AZ,'Pomocný'!AE$1,FALSE)=AE$14,1,0)</f>
        <v>1</v>
      </c>
      <c r="AF9" s="2">
        <f>IF(VLOOKUP($O9,GW!$C:$AZ,'Pomocný'!AF$1,FALSE)=AF$14,1,0)</f>
        <v>0</v>
      </c>
      <c r="AG9" s="2">
        <f>IF(VLOOKUP($O9,GW!$C:$AZ,'Pomocný'!AG$1,FALSE)=AG$14,1,0)</f>
        <v>0</v>
      </c>
      <c r="AH9" s="2">
        <f>IF(VLOOKUP($O9,GW!$C:$AZ,'Pomocný'!AH$1,FALSE)=AH$14,1,0)</f>
        <v>0</v>
      </c>
      <c r="AI9" s="2">
        <f>IF(VLOOKUP($O9,GW!$C:$AZ,'Pomocný'!AI$1,FALSE)=AI$14,1,0)</f>
        <v>0</v>
      </c>
      <c r="AJ9" s="2">
        <f>IF(VLOOKUP($O9,GW!$C:$AZ,'Pomocný'!AJ$1,FALSE)=AJ$14,1,0)</f>
        <v>1</v>
      </c>
      <c r="AK9" s="2">
        <f>IF(VLOOKUP($O9,GW!$C:$AZ,'Pomocný'!AK$1,FALSE)=AK$14,1,0)</f>
        <v>0</v>
      </c>
      <c r="AL9" s="2">
        <f>IF(VLOOKUP($O9,GW!$C:$AZ,'Pomocný'!AL$1,FALSE)=AL$14,1,0)</f>
        <v>0</v>
      </c>
      <c r="AM9" s="2">
        <f>IF(VLOOKUP($O9,GW!$C:$AZ,'Pomocný'!AM$1,FALSE)=AM$14,1,0)</f>
        <v>0</v>
      </c>
      <c r="AN9" s="2">
        <f>IF(VLOOKUP($O9,GW!$C:$AZ,'Pomocný'!AN$1,FALSE)=AN$14,1,0)</f>
        <v>0</v>
      </c>
      <c r="AO9" s="2">
        <f>IF(VLOOKUP($O9,GW!$C:$AZ,'Pomocný'!AO$1,FALSE)=AO$14,1,0)</f>
        <v>1</v>
      </c>
      <c r="AP9" s="2">
        <f>IF(VLOOKUP($O9,GW!$C:$AZ,'Pomocný'!AP$1,FALSE)=AP$14,1,0)</f>
        <v>0</v>
      </c>
      <c r="AQ9" s="2">
        <f>IF(VLOOKUP($O9,GW!$C:$AZ,'Pomocný'!AQ$1,FALSE)=AQ$14,1,0)</f>
        <v>0</v>
      </c>
      <c r="AR9" s="2">
        <f>IF(VLOOKUP($O9,GW!$C:$AZ,'Pomocný'!AR$1,FALSE)=AR$14,1,0)</f>
        <v>0</v>
      </c>
      <c r="AS9" s="2">
        <f>IF(VLOOKUP($O9,GW!$C:$AZ,'Pomocný'!AS$1,FALSE)=AS$14,1,0)</f>
        <v>0</v>
      </c>
      <c r="AT9" s="2">
        <f>IF(VLOOKUP($O9,GW!$C:$AZ,'Pomocný'!AT$1,FALSE)=AT$14,1,0)</f>
        <v>0</v>
      </c>
      <c r="AU9" s="2">
        <f>IF(VLOOKUP($O9,GW!$C:$AZ,'Pomocný'!AU$1,FALSE)=AU$14,1,0)</f>
        <v>0</v>
      </c>
      <c r="AV9" s="2">
        <f>IF(VLOOKUP($O9,GW!$C:$AZ,'Pomocný'!AV$1,FALSE)=AV$14,1,0)</f>
        <v>0</v>
      </c>
      <c r="AW9" s="2">
        <f>IF(VLOOKUP($O9,GW!$C:$AZ,'Pomocný'!AW$1,FALSE)=AW$14,1,0)</f>
        <v>1</v>
      </c>
      <c r="AX9" s="2">
        <f>IF(VLOOKUP($O9,GW!$C:$AZ,'Pomocný'!AX$1,FALSE)=AX$14,1,0)</f>
        <v>0</v>
      </c>
      <c r="AY9" s="2">
        <f>IF(VLOOKUP($O9,GW!$C:$AZ,'Pomocný'!AY$1,FALSE)=AY$14,1,0)</f>
        <v>0</v>
      </c>
      <c r="AZ9" s="2">
        <f>IF(VLOOKUP($O9,GW!$C:$AZ,'Pomocný'!AZ$1,FALSE)=AZ$14,1,0)</f>
        <v>0</v>
      </c>
      <c r="BA9" s="2">
        <f>IF(VLOOKUP($O9,GW!$C:$AZ,'Pomocný'!BA$1,FALSE)=BA$14,1,0)</f>
        <v>0</v>
      </c>
      <c r="BB9" s="2">
        <f>IF(VLOOKUP($O9,GW!$C:$AZ,'Pomocný'!BB$1,FALSE)=BB$14,1,0)</f>
        <v>0</v>
      </c>
    </row>
    <row r="10" ht="14.25" customHeight="1">
      <c r="B10" s="2" t="s">
        <v>78</v>
      </c>
      <c r="C10" s="2">
        <f>SUMPRODUCT(GW!$O$4:$AZ$14*(GW!$O$2:$AZ$2=C$2)*(GW!$C$4:$C$14=$B10))</f>
        <v>190</v>
      </c>
      <c r="D10" s="2">
        <f>SUMPRODUCT(GW!$O$4:$AZ$14*(GW!$O$2:$AZ$2=D$2)*(GW!$C$4:$C$14=$B10))</f>
        <v>204</v>
      </c>
      <c r="E10" s="2">
        <f>SUMPRODUCT(GW!$O$4:$AZ$14*(GW!$O$2:$AZ$2=E$2)*(GW!$C$4:$C$14=$B10))</f>
        <v>163</v>
      </c>
      <c r="F10" s="2">
        <f>SUMPRODUCT(GW!$O$4:$AZ$14*(GW!$O$2:$AZ$2=F$2)*(GW!$C$4:$C$14=$B10))</f>
        <v>219</v>
      </c>
      <c r="G10" s="2">
        <f>SUMPRODUCT(GW!$O$4:$AZ$14*(GW!$O$2:$AZ$2=G$2)*(GW!$C$4:$C$14=$B10))</f>
        <v>288</v>
      </c>
      <c r="H10" s="2">
        <f>SUMPRODUCT(GW!$O$4:$AZ$14*(GW!$O$2:$AZ$2=H$2)*(GW!$C$4:$C$14=$B10))</f>
        <v>223</v>
      </c>
      <c r="I10" s="2">
        <f>SUMPRODUCT(GW!$O$4:$AZ$14*(GW!$O$2:$AZ$2=I$2)*(GW!$C$4:$C$14=$B10))</f>
        <v>206</v>
      </c>
      <c r="J10" s="2">
        <f>SUMPRODUCT(GW!$O$4:$AZ$14*(GW!$O$2:$AZ$2=J$2)*(GW!$C$4:$C$14=$B10))</f>
        <v>77</v>
      </c>
      <c r="K10" s="2">
        <f>SUMPRODUCT(GW!$O$4:$AZ$14*(GW!$O$2:$AZ$2=K$2)*(GW!$C$4:$C$14=$B10))</f>
        <v>227</v>
      </c>
      <c r="L10" s="2">
        <f>SUMPRODUCT(GW!$O$4:$AZ$14*(GW!$O$2:$AZ$2=L$2)*(GW!$C$4:$C$14=$B10))</f>
        <v>179</v>
      </c>
      <c r="M10" s="2" t="s">
        <v>78</v>
      </c>
      <c r="O10" s="2" t="s">
        <v>78</v>
      </c>
      <c r="P10" s="2">
        <f t="shared" si="1"/>
        <v>1</v>
      </c>
      <c r="Q10" s="2">
        <f>IF(VLOOKUP($O10,GW!$C:$AZ,'Pomocný'!Q$1,FALSE)=Q$14,1,0)</f>
        <v>0</v>
      </c>
      <c r="R10" s="2">
        <f>IF(VLOOKUP($O10,GW!$C:$AZ,'Pomocný'!R$1,FALSE)=R$14,1,0)</f>
        <v>0</v>
      </c>
      <c r="S10" s="2">
        <f>IF(VLOOKUP($O10,GW!$C:$AZ,'Pomocný'!S$1,FALSE)=S$14,1,0)</f>
        <v>0</v>
      </c>
      <c r="T10" s="2">
        <f>IF(VLOOKUP($O10,GW!$C:$AZ,'Pomocný'!T$1,FALSE)=T$14,1,0)</f>
        <v>0</v>
      </c>
      <c r="U10" s="2">
        <f>IF(VLOOKUP($O10,GW!$C:$AZ,'Pomocný'!U$1,FALSE)=U$14,1,0)</f>
        <v>0</v>
      </c>
      <c r="V10" s="2">
        <f>IF(VLOOKUP($O10,GW!$C:$AZ,'Pomocný'!V$1,FALSE)=V$14,1,0)</f>
        <v>0</v>
      </c>
      <c r="W10" s="2">
        <f>IF(VLOOKUP($O10,GW!$C:$AZ,'Pomocný'!W$1,FALSE)=W$14,1,0)</f>
        <v>0</v>
      </c>
      <c r="X10" s="2">
        <f>IF(VLOOKUP($O10,GW!$C:$AZ,'Pomocný'!X$1,FALSE)=X$14,1,0)</f>
        <v>0</v>
      </c>
      <c r="Y10" s="2">
        <f>IF(VLOOKUP($O10,GW!$C:$AZ,'Pomocný'!Y$1,FALSE)=Y$14,1,0)</f>
        <v>0</v>
      </c>
      <c r="Z10" s="2">
        <f>IF(VLOOKUP($O10,GW!$C:$AZ,'Pomocný'!Z$1,FALSE)=Z$14,1,0)</f>
        <v>0</v>
      </c>
      <c r="AA10" s="2">
        <f>IF(VLOOKUP($O10,GW!$C:$AZ,'Pomocný'!AA$1,FALSE)=AA$14,1,0)</f>
        <v>0</v>
      </c>
      <c r="AB10" s="2">
        <f>IF(VLOOKUP($O10,GW!$C:$AZ,'Pomocný'!AB$1,FALSE)=AB$14,1,0)</f>
        <v>1</v>
      </c>
      <c r="AC10" s="2">
        <f>IF(VLOOKUP($O10,GW!$C:$AZ,'Pomocný'!AC$1,FALSE)=AC$14,1,0)</f>
        <v>0</v>
      </c>
      <c r="AD10" s="2">
        <f>IF(VLOOKUP($O10,GW!$C:$AZ,'Pomocný'!AD$1,FALSE)=AD$14,1,0)</f>
        <v>0</v>
      </c>
      <c r="AE10" s="2">
        <f>IF(VLOOKUP($O10,GW!$C:$AZ,'Pomocný'!AE$1,FALSE)=AE$14,1,0)</f>
        <v>0</v>
      </c>
      <c r="AF10" s="2">
        <f>IF(VLOOKUP($O10,GW!$C:$AZ,'Pomocný'!AF$1,FALSE)=AF$14,1,0)</f>
        <v>0</v>
      </c>
      <c r="AG10" s="2">
        <f>IF(VLOOKUP($O10,GW!$C:$AZ,'Pomocný'!AG$1,FALSE)=AG$14,1,0)</f>
        <v>0</v>
      </c>
      <c r="AH10" s="2">
        <f>IF(VLOOKUP($O10,GW!$C:$AZ,'Pomocný'!AH$1,FALSE)=AH$14,1,0)</f>
        <v>0</v>
      </c>
      <c r="AI10" s="2">
        <f>IF(VLOOKUP($O10,GW!$C:$AZ,'Pomocný'!AI$1,FALSE)=AI$14,1,0)</f>
        <v>0</v>
      </c>
      <c r="AJ10" s="2">
        <f>IF(VLOOKUP($O10,GW!$C:$AZ,'Pomocný'!AJ$1,FALSE)=AJ$14,1,0)</f>
        <v>0</v>
      </c>
      <c r="AK10" s="2">
        <f>IF(VLOOKUP($O10,GW!$C:$AZ,'Pomocný'!AK$1,FALSE)=AK$14,1,0)</f>
        <v>0</v>
      </c>
      <c r="AL10" s="2">
        <f>IF(VLOOKUP($O10,GW!$C:$AZ,'Pomocný'!AL$1,FALSE)=AL$14,1,0)</f>
        <v>0</v>
      </c>
      <c r="AM10" s="2">
        <f>IF(VLOOKUP($O10,GW!$C:$AZ,'Pomocný'!AM$1,FALSE)=AM$14,1,0)</f>
        <v>0</v>
      </c>
      <c r="AN10" s="2">
        <f>IF(VLOOKUP($O10,GW!$C:$AZ,'Pomocný'!AN$1,FALSE)=AN$14,1,0)</f>
        <v>0</v>
      </c>
      <c r="AO10" s="2">
        <f>IF(VLOOKUP($O10,GW!$C:$AZ,'Pomocný'!AO$1,FALSE)=AO$14,1,0)</f>
        <v>0</v>
      </c>
      <c r="AP10" s="2">
        <f>IF(VLOOKUP($O10,GW!$C:$AZ,'Pomocný'!AP$1,FALSE)=AP$14,1,0)</f>
        <v>0</v>
      </c>
      <c r="AQ10" s="2">
        <f>IF(VLOOKUP($O10,GW!$C:$AZ,'Pomocný'!AQ$1,FALSE)=AQ$14,1,0)</f>
        <v>0</v>
      </c>
      <c r="AR10" s="2">
        <f>IF(VLOOKUP($O10,GW!$C:$AZ,'Pomocný'!AR$1,FALSE)=AR$14,1,0)</f>
        <v>0</v>
      </c>
      <c r="AS10" s="2">
        <f>IF(VLOOKUP($O10,GW!$C:$AZ,'Pomocný'!AS$1,FALSE)=AS$14,1,0)</f>
        <v>0</v>
      </c>
      <c r="AT10" s="2">
        <f>IF(VLOOKUP($O10,GW!$C:$AZ,'Pomocný'!AT$1,FALSE)=AT$14,1,0)</f>
        <v>0</v>
      </c>
      <c r="AU10" s="2">
        <f>IF(VLOOKUP($O10,GW!$C:$AZ,'Pomocný'!AU$1,FALSE)=AU$14,1,0)</f>
        <v>0</v>
      </c>
      <c r="AV10" s="2">
        <f>IF(VLOOKUP($O10,GW!$C:$AZ,'Pomocný'!AV$1,FALSE)=AV$14,1,0)</f>
        <v>0</v>
      </c>
      <c r="AW10" s="2">
        <f>IF(VLOOKUP($O10,GW!$C:$AZ,'Pomocný'!AW$1,FALSE)=AW$14,1,0)</f>
        <v>0</v>
      </c>
      <c r="AX10" s="2">
        <f>IF(VLOOKUP($O10,GW!$C:$AZ,'Pomocný'!AX$1,FALSE)=AX$14,1,0)</f>
        <v>0</v>
      </c>
      <c r="AY10" s="2">
        <f>IF(VLOOKUP($O10,GW!$C:$AZ,'Pomocný'!AY$1,FALSE)=AY$14,1,0)</f>
        <v>0</v>
      </c>
      <c r="AZ10" s="2">
        <f>IF(VLOOKUP($O10,GW!$C:$AZ,'Pomocný'!AZ$1,FALSE)=AZ$14,1,0)</f>
        <v>0</v>
      </c>
      <c r="BA10" s="2">
        <f>IF(VLOOKUP($O10,GW!$C:$AZ,'Pomocný'!BA$1,FALSE)=BA$14,1,0)</f>
        <v>0</v>
      </c>
      <c r="BB10" s="2">
        <f>IF(VLOOKUP($O10,GW!$C:$AZ,'Pomocný'!BB$1,FALSE)=BB$14,1,0)</f>
        <v>0</v>
      </c>
    </row>
    <row r="11" ht="14.25" customHeight="1">
      <c r="B11" s="2" t="s">
        <v>74</v>
      </c>
      <c r="C11" s="2">
        <f>SUMPRODUCT(GW!$O$4:$AZ$14*(GW!$O$2:$AZ$2=C$2)*(GW!$C$4:$C$14=$B11))</f>
        <v>211</v>
      </c>
      <c r="D11" s="2">
        <f>SUMPRODUCT(GW!$O$4:$AZ$14*(GW!$O$2:$AZ$2=D$2)*(GW!$C$4:$C$14=$B11))</f>
        <v>178</v>
      </c>
      <c r="E11" s="2">
        <f>SUMPRODUCT(GW!$O$4:$AZ$14*(GW!$O$2:$AZ$2=E$2)*(GW!$C$4:$C$14=$B11))</f>
        <v>127</v>
      </c>
      <c r="F11" s="2">
        <f>SUMPRODUCT(GW!$O$4:$AZ$14*(GW!$O$2:$AZ$2=F$2)*(GW!$C$4:$C$14=$B11))</f>
        <v>212</v>
      </c>
      <c r="G11" s="2">
        <f>SUMPRODUCT(GW!$O$4:$AZ$14*(GW!$O$2:$AZ$2=G$2)*(GW!$C$4:$C$14=$B11))</f>
        <v>378</v>
      </c>
      <c r="H11" s="2">
        <f>SUMPRODUCT(GW!$O$4:$AZ$14*(GW!$O$2:$AZ$2=H$2)*(GW!$C$4:$C$14=$B11))</f>
        <v>236</v>
      </c>
      <c r="I11" s="2">
        <f>SUMPRODUCT(GW!$O$4:$AZ$14*(GW!$O$2:$AZ$2=I$2)*(GW!$C$4:$C$14=$B11))</f>
        <v>321</v>
      </c>
      <c r="J11" s="2">
        <f>SUMPRODUCT(GW!$O$4:$AZ$14*(GW!$O$2:$AZ$2=J$2)*(GW!$C$4:$C$14=$B11))</f>
        <v>115</v>
      </c>
      <c r="K11" s="2">
        <f>SUMPRODUCT(GW!$O$4:$AZ$14*(GW!$O$2:$AZ$2=K$2)*(GW!$C$4:$C$14=$B11))</f>
        <v>286</v>
      </c>
      <c r="L11" s="2">
        <f>SUMPRODUCT(GW!$O$4:$AZ$14*(GW!$O$2:$AZ$2=L$2)*(GW!$C$4:$C$14=$B11))</f>
        <v>182</v>
      </c>
      <c r="M11" s="2" t="s">
        <v>74</v>
      </c>
      <c r="O11" s="2" t="s">
        <v>74</v>
      </c>
      <c r="P11" s="2">
        <f t="shared" si="1"/>
        <v>4</v>
      </c>
      <c r="Q11" s="2">
        <f>IF(VLOOKUP($O11,GW!$C:$AZ,'Pomocný'!Q$1,FALSE)=Q$14,1,0)</f>
        <v>0</v>
      </c>
      <c r="R11" s="2">
        <f>IF(VLOOKUP($O11,GW!$C:$AZ,'Pomocný'!R$1,FALSE)=R$14,1,0)</f>
        <v>1</v>
      </c>
      <c r="S11" s="2">
        <f>IF(VLOOKUP($O11,GW!$C:$AZ,'Pomocný'!S$1,FALSE)=S$14,1,0)</f>
        <v>0</v>
      </c>
      <c r="T11" s="2">
        <f>IF(VLOOKUP($O11,GW!$C:$AZ,'Pomocný'!T$1,FALSE)=T$14,1,0)</f>
        <v>0</v>
      </c>
      <c r="U11" s="2">
        <f>IF(VLOOKUP($O11,GW!$C:$AZ,'Pomocný'!U$1,FALSE)=U$14,1,0)</f>
        <v>0</v>
      </c>
      <c r="V11" s="2">
        <f>IF(VLOOKUP($O11,GW!$C:$AZ,'Pomocný'!V$1,FALSE)=V$14,1,0)</f>
        <v>0</v>
      </c>
      <c r="W11" s="2">
        <f>IF(VLOOKUP($O11,GW!$C:$AZ,'Pomocný'!W$1,FALSE)=W$14,1,0)</f>
        <v>0</v>
      </c>
      <c r="X11" s="2">
        <f>IF(VLOOKUP($O11,GW!$C:$AZ,'Pomocný'!X$1,FALSE)=X$14,1,0)</f>
        <v>0</v>
      </c>
      <c r="Y11" s="2">
        <f>IF(VLOOKUP($O11,GW!$C:$AZ,'Pomocný'!Y$1,FALSE)=Y$14,1,0)</f>
        <v>0</v>
      </c>
      <c r="Z11" s="2">
        <f>IF(VLOOKUP($O11,GW!$C:$AZ,'Pomocný'!Z$1,FALSE)=Z$14,1,0)</f>
        <v>0</v>
      </c>
      <c r="AA11" s="2">
        <f>IF(VLOOKUP($O11,GW!$C:$AZ,'Pomocný'!AA$1,FALSE)=AA$14,1,0)</f>
        <v>0</v>
      </c>
      <c r="AB11" s="2">
        <f>IF(VLOOKUP($O11,GW!$C:$AZ,'Pomocný'!AB$1,FALSE)=AB$14,1,0)</f>
        <v>0</v>
      </c>
      <c r="AC11" s="2">
        <f>IF(VLOOKUP($O11,GW!$C:$AZ,'Pomocný'!AC$1,FALSE)=AC$14,1,0)</f>
        <v>0</v>
      </c>
      <c r="AD11" s="2">
        <f>IF(VLOOKUP($O11,GW!$C:$AZ,'Pomocný'!AD$1,FALSE)=AD$14,1,0)</f>
        <v>1</v>
      </c>
      <c r="AE11" s="2">
        <f>IF(VLOOKUP($O11,GW!$C:$AZ,'Pomocný'!AE$1,FALSE)=AE$14,1,0)</f>
        <v>0</v>
      </c>
      <c r="AF11" s="2">
        <f>IF(VLOOKUP($O11,GW!$C:$AZ,'Pomocný'!AF$1,FALSE)=AF$14,1,0)</f>
        <v>1</v>
      </c>
      <c r="AG11" s="2">
        <f>IF(VLOOKUP($O11,GW!$C:$AZ,'Pomocný'!AG$1,FALSE)=AG$14,1,0)</f>
        <v>0</v>
      </c>
      <c r="AH11" s="2">
        <f>IF(VLOOKUP($O11,GW!$C:$AZ,'Pomocný'!AH$1,FALSE)=AH$14,1,0)</f>
        <v>0</v>
      </c>
      <c r="AI11" s="2">
        <f>IF(VLOOKUP($O11,GW!$C:$AZ,'Pomocný'!AI$1,FALSE)=AI$14,1,0)</f>
        <v>0</v>
      </c>
      <c r="AJ11" s="2">
        <f>IF(VLOOKUP($O11,GW!$C:$AZ,'Pomocný'!AJ$1,FALSE)=AJ$14,1,0)</f>
        <v>0</v>
      </c>
      <c r="AK11" s="2">
        <f>IF(VLOOKUP($O11,GW!$C:$AZ,'Pomocný'!AK$1,FALSE)=AK$14,1,0)</f>
        <v>0</v>
      </c>
      <c r="AL11" s="2">
        <f>IF(VLOOKUP($O11,GW!$C:$AZ,'Pomocný'!AL$1,FALSE)=AL$14,1,0)</f>
        <v>1</v>
      </c>
      <c r="AM11" s="2">
        <f>IF(VLOOKUP($O11,GW!$C:$AZ,'Pomocný'!AM$1,FALSE)=AM$14,1,0)</f>
        <v>0</v>
      </c>
      <c r="AN11" s="2">
        <f>IF(VLOOKUP($O11,GW!$C:$AZ,'Pomocný'!AN$1,FALSE)=AN$14,1,0)</f>
        <v>0</v>
      </c>
      <c r="AO11" s="2">
        <f>IF(VLOOKUP($O11,GW!$C:$AZ,'Pomocný'!AO$1,FALSE)=AO$14,1,0)</f>
        <v>0</v>
      </c>
      <c r="AP11" s="2">
        <f>IF(VLOOKUP($O11,GW!$C:$AZ,'Pomocný'!AP$1,FALSE)=AP$14,1,0)</f>
        <v>0</v>
      </c>
      <c r="AQ11" s="2">
        <f>IF(VLOOKUP($O11,GW!$C:$AZ,'Pomocný'!AQ$1,FALSE)=AQ$14,1,0)</f>
        <v>0</v>
      </c>
      <c r="AR11" s="2">
        <f>IF(VLOOKUP($O11,GW!$C:$AZ,'Pomocný'!AR$1,FALSE)=AR$14,1,0)</f>
        <v>0</v>
      </c>
      <c r="AS11" s="2">
        <f>IF(VLOOKUP($O11,GW!$C:$AZ,'Pomocný'!AS$1,FALSE)=AS$14,1,0)</f>
        <v>0</v>
      </c>
      <c r="AT11" s="2">
        <f>IF(VLOOKUP($O11,GW!$C:$AZ,'Pomocný'!AT$1,FALSE)=AT$14,1,0)</f>
        <v>0</v>
      </c>
      <c r="AU11" s="2">
        <f>IF(VLOOKUP($O11,GW!$C:$AZ,'Pomocný'!AU$1,FALSE)=AU$14,1,0)</f>
        <v>0</v>
      </c>
      <c r="AV11" s="2">
        <f>IF(VLOOKUP($O11,GW!$C:$AZ,'Pomocný'!AV$1,FALSE)=AV$14,1,0)</f>
        <v>0</v>
      </c>
      <c r="AW11" s="2">
        <f>IF(VLOOKUP($O11,GW!$C:$AZ,'Pomocný'!AW$1,FALSE)=AW$14,1,0)</f>
        <v>0</v>
      </c>
      <c r="AX11" s="2">
        <f>IF(VLOOKUP($O11,GW!$C:$AZ,'Pomocný'!AX$1,FALSE)=AX$14,1,0)</f>
        <v>0</v>
      </c>
      <c r="AY11" s="2">
        <f>IF(VLOOKUP($O11,GW!$C:$AZ,'Pomocný'!AY$1,FALSE)=AY$14,1,0)</f>
        <v>0</v>
      </c>
      <c r="AZ11" s="2">
        <f>IF(VLOOKUP($O11,GW!$C:$AZ,'Pomocný'!AZ$1,FALSE)=AZ$14,1,0)</f>
        <v>0</v>
      </c>
      <c r="BA11" s="2">
        <f>IF(VLOOKUP($O11,GW!$C:$AZ,'Pomocný'!BA$1,FALSE)=BA$14,1,0)</f>
        <v>0</v>
      </c>
      <c r="BB11" s="2">
        <f>IF(VLOOKUP($O11,GW!$C:$AZ,'Pomocný'!BB$1,FALSE)=BB$14,1,0)</f>
        <v>0</v>
      </c>
    </row>
    <row r="12" ht="14.25" customHeight="1">
      <c r="B12" s="2" t="s">
        <v>77</v>
      </c>
      <c r="C12" s="2">
        <f>SUMPRODUCT(GW!$O$4:$AZ$14*(GW!$O$2:$AZ$2=C$2)*(GW!$C$4:$C$14=$B12))</f>
        <v>136</v>
      </c>
      <c r="D12" s="2">
        <f>SUMPRODUCT(GW!$O$4:$AZ$14*(GW!$O$2:$AZ$2=D$2)*(GW!$C$4:$C$14=$B12))</f>
        <v>202</v>
      </c>
      <c r="E12" s="2">
        <f>SUMPRODUCT(GW!$O$4:$AZ$14*(GW!$O$2:$AZ$2=E$2)*(GW!$C$4:$C$14=$B12))</f>
        <v>150</v>
      </c>
      <c r="F12" s="2">
        <f>SUMPRODUCT(GW!$O$4:$AZ$14*(GW!$O$2:$AZ$2=F$2)*(GW!$C$4:$C$14=$B12))</f>
        <v>192</v>
      </c>
      <c r="G12" s="2">
        <f>SUMPRODUCT(GW!$O$4:$AZ$14*(GW!$O$2:$AZ$2=G$2)*(GW!$C$4:$C$14=$B12))</f>
        <v>236</v>
      </c>
      <c r="H12" s="2">
        <f>SUMPRODUCT(GW!$O$4:$AZ$14*(GW!$O$2:$AZ$2=H$2)*(GW!$C$4:$C$14=$B12))</f>
        <v>218</v>
      </c>
      <c r="I12" s="2">
        <f>SUMPRODUCT(GW!$O$4:$AZ$14*(GW!$O$2:$AZ$2=I$2)*(GW!$C$4:$C$14=$B12))</f>
        <v>354</v>
      </c>
      <c r="J12" s="2">
        <f>SUMPRODUCT(GW!$O$4:$AZ$14*(GW!$O$2:$AZ$2=J$2)*(GW!$C$4:$C$14=$B12))</f>
        <v>145</v>
      </c>
      <c r="K12" s="2">
        <f>SUMPRODUCT(GW!$O$4:$AZ$14*(GW!$O$2:$AZ$2=K$2)*(GW!$C$4:$C$14=$B12))</f>
        <v>303</v>
      </c>
      <c r="L12" s="2">
        <f>SUMPRODUCT(GW!$O$4:$AZ$14*(GW!$O$2:$AZ$2=L$2)*(GW!$C$4:$C$14=$B12))</f>
        <v>194</v>
      </c>
      <c r="M12" s="2" t="s">
        <v>77</v>
      </c>
      <c r="O12" s="2" t="s">
        <v>77</v>
      </c>
      <c r="P12" s="2">
        <f t="shared" si="1"/>
        <v>6</v>
      </c>
      <c r="Q12" s="2">
        <f>IF(VLOOKUP($O12,GW!$C:$AZ,'Pomocný'!Q$1,FALSE)=Q$14,1,0)</f>
        <v>0</v>
      </c>
      <c r="R12" s="2">
        <f>IF(VLOOKUP($O12,GW!$C:$AZ,'Pomocný'!R$1,FALSE)=R$14,1,0)</f>
        <v>0</v>
      </c>
      <c r="S12" s="2">
        <f>IF(VLOOKUP($O12,GW!$C:$AZ,'Pomocný'!S$1,FALSE)=S$14,1,0)</f>
        <v>0</v>
      </c>
      <c r="T12" s="2">
        <f>IF(VLOOKUP($O12,GW!$C:$AZ,'Pomocný'!T$1,FALSE)=T$14,1,0)</f>
        <v>1</v>
      </c>
      <c r="U12" s="2">
        <f>IF(VLOOKUP($O12,GW!$C:$AZ,'Pomocný'!U$1,FALSE)=U$14,1,0)</f>
        <v>1</v>
      </c>
      <c r="V12" s="2">
        <f>IF(VLOOKUP($O12,GW!$C:$AZ,'Pomocný'!V$1,FALSE)=V$14,1,0)</f>
        <v>0</v>
      </c>
      <c r="W12" s="2">
        <f>IF(VLOOKUP($O12,GW!$C:$AZ,'Pomocný'!W$1,FALSE)=W$14,1,0)</f>
        <v>1</v>
      </c>
      <c r="X12" s="2">
        <f>IF(VLOOKUP($O12,GW!$C:$AZ,'Pomocný'!X$1,FALSE)=X$14,1,0)</f>
        <v>0</v>
      </c>
      <c r="Y12" s="2">
        <f>IF(VLOOKUP($O12,GW!$C:$AZ,'Pomocný'!Y$1,FALSE)=Y$14,1,0)</f>
        <v>0</v>
      </c>
      <c r="Z12" s="2">
        <f>IF(VLOOKUP($O12,GW!$C:$AZ,'Pomocný'!Z$1,FALSE)=Z$14,1,0)</f>
        <v>0</v>
      </c>
      <c r="AA12" s="2">
        <f>IF(VLOOKUP($O12,GW!$C:$AZ,'Pomocný'!AA$1,FALSE)=AA$14,1,0)</f>
        <v>0</v>
      </c>
      <c r="AB12" s="2">
        <f>IF(VLOOKUP($O12,GW!$C:$AZ,'Pomocný'!AB$1,FALSE)=AB$14,1,0)</f>
        <v>0</v>
      </c>
      <c r="AC12" s="2">
        <f>IF(VLOOKUP($O12,GW!$C:$AZ,'Pomocný'!AC$1,FALSE)=AC$14,1,0)</f>
        <v>0</v>
      </c>
      <c r="AD12" s="2">
        <f>IF(VLOOKUP($O12,GW!$C:$AZ,'Pomocný'!AD$1,FALSE)=AD$14,1,0)</f>
        <v>0</v>
      </c>
      <c r="AE12" s="2">
        <f>IF(VLOOKUP($O12,GW!$C:$AZ,'Pomocný'!AE$1,FALSE)=AE$14,1,0)</f>
        <v>0</v>
      </c>
      <c r="AF12" s="2">
        <f>IF(VLOOKUP($O12,GW!$C:$AZ,'Pomocný'!AF$1,FALSE)=AF$14,1,0)</f>
        <v>0</v>
      </c>
      <c r="AG12" s="2">
        <f>IF(VLOOKUP($O12,GW!$C:$AZ,'Pomocný'!AG$1,FALSE)=AG$14,1,0)</f>
        <v>0</v>
      </c>
      <c r="AH12" s="2">
        <f>IF(VLOOKUP($O12,GW!$C:$AZ,'Pomocný'!AH$1,FALSE)=AH$14,1,0)</f>
        <v>0</v>
      </c>
      <c r="AI12" s="2">
        <f>IF(VLOOKUP($O12,GW!$C:$AZ,'Pomocný'!AI$1,FALSE)=AI$14,1,0)</f>
        <v>0</v>
      </c>
      <c r="AJ12" s="2">
        <f>IF(VLOOKUP($O12,GW!$C:$AZ,'Pomocný'!AJ$1,FALSE)=AJ$14,1,0)</f>
        <v>0</v>
      </c>
      <c r="AK12" s="2">
        <f>IF(VLOOKUP($O12,GW!$C:$AZ,'Pomocný'!AK$1,FALSE)=AK$14,1,0)</f>
        <v>0</v>
      </c>
      <c r="AL12" s="2">
        <f>IF(VLOOKUP($O12,GW!$C:$AZ,'Pomocný'!AL$1,FALSE)=AL$14,1,0)</f>
        <v>0</v>
      </c>
      <c r="AM12" s="2">
        <f>IF(VLOOKUP($O12,GW!$C:$AZ,'Pomocný'!AM$1,FALSE)=AM$14,1,0)</f>
        <v>1</v>
      </c>
      <c r="AN12" s="2">
        <f>IF(VLOOKUP($O12,GW!$C:$AZ,'Pomocný'!AN$1,FALSE)=AN$14,1,0)</f>
        <v>0</v>
      </c>
      <c r="AO12" s="2">
        <f>IF(VLOOKUP($O12,GW!$C:$AZ,'Pomocný'!AO$1,FALSE)=AO$14,1,0)</f>
        <v>0</v>
      </c>
      <c r="AP12" s="2">
        <f>IF(VLOOKUP($O12,GW!$C:$AZ,'Pomocný'!AP$1,FALSE)=AP$14,1,0)</f>
        <v>1</v>
      </c>
      <c r="AQ12" s="2">
        <f>IF(VLOOKUP($O12,GW!$C:$AZ,'Pomocný'!AQ$1,FALSE)=AQ$14,1,0)</f>
        <v>0</v>
      </c>
      <c r="AR12" s="2">
        <f>IF(VLOOKUP($O12,GW!$C:$AZ,'Pomocný'!AR$1,FALSE)=AR$14,1,0)</f>
        <v>1</v>
      </c>
      <c r="AS12" s="2">
        <f>IF(VLOOKUP($O12,GW!$C:$AZ,'Pomocný'!AS$1,FALSE)=AS$14,1,0)</f>
        <v>0</v>
      </c>
      <c r="AT12" s="2">
        <f>IF(VLOOKUP($O12,GW!$C:$AZ,'Pomocný'!AT$1,FALSE)=AT$14,1,0)</f>
        <v>0</v>
      </c>
      <c r="AU12" s="2">
        <f>IF(VLOOKUP($O12,GW!$C:$AZ,'Pomocný'!AU$1,FALSE)=AU$14,1,0)</f>
        <v>0</v>
      </c>
      <c r="AV12" s="2">
        <f>IF(VLOOKUP($O12,GW!$C:$AZ,'Pomocný'!AV$1,FALSE)=AV$14,1,0)</f>
        <v>0</v>
      </c>
      <c r="AW12" s="2">
        <f>IF(VLOOKUP($O12,GW!$C:$AZ,'Pomocný'!AW$1,FALSE)=AW$14,1,0)</f>
        <v>0</v>
      </c>
      <c r="AX12" s="2">
        <f>IF(VLOOKUP($O12,GW!$C:$AZ,'Pomocný'!AX$1,FALSE)=AX$14,1,0)</f>
        <v>0</v>
      </c>
      <c r="AY12" s="2">
        <f>IF(VLOOKUP($O12,GW!$C:$AZ,'Pomocný'!AY$1,FALSE)=AY$14,1,0)</f>
        <v>0</v>
      </c>
      <c r="AZ12" s="2">
        <f>IF(VLOOKUP($O12,GW!$C:$AZ,'Pomocný'!AZ$1,FALSE)=AZ$14,1,0)</f>
        <v>0</v>
      </c>
      <c r="BA12" s="2">
        <f>IF(VLOOKUP($O12,GW!$C:$AZ,'Pomocný'!BA$1,FALSE)=BA$14,1,0)</f>
        <v>0</v>
      </c>
      <c r="BB12" s="2">
        <f>IF(VLOOKUP($O12,GW!$C:$AZ,'Pomocný'!BB$1,FALSE)=BB$14,1,0)</f>
        <v>0</v>
      </c>
    </row>
    <row r="13" ht="14.25" customHeight="1">
      <c r="B13" s="2" t="s">
        <v>85</v>
      </c>
      <c r="C13" s="2"/>
      <c r="D13" s="2"/>
      <c r="E13" s="2"/>
      <c r="F13" s="2"/>
      <c r="G13" s="2"/>
      <c r="H13" s="2"/>
      <c r="I13" s="2"/>
      <c r="J13" s="2"/>
      <c r="K13" s="2"/>
      <c r="L13" s="2">
        <f>SUMPRODUCT(GW!$O$5:$AZ$14*(GW!$O$2:$AZ$2=L$2)*(GW!$C$5:$C$14=$B13))</f>
        <v>0</v>
      </c>
      <c r="M13" s="2" t="s">
        <v>85</v>
      </c>
      <c r="O13" s="2" t="s">
        <v>85</v>
      </c>
      <c r="P13" s="2" t="str">
        <f t="shared" si="1"/>
        <v>#N/A</v>
      </c>
      <c r="Q13" s="2" t="str">
        <f>IF(VLOOKUP($O13,GW!$C:$AZ,'Pomocný'!Q$1,FALSE)=Q$14,1,0)</f>
        <v>#N/A</v>
      </c>
      <c r="R13" s="2" t="str">
        <f>IF(VLOOKUP($O13,GW!$C:$AZ,'Pomocný'!R$1,FALSE)=R$14,1,0)</f>
        <v>#N/A</v>
      </c>
      <c r="S13" s="2" t="str">
        <f>IF(VLOOKUP($O13,GW!$C:$AZ,'Pomocný'!S$1,FALSE)=S$14,1,0)</f>
        <v>#N/A</v>
      </c>
      <c r="T13" s="2" t="str">
        <f>IF(VLOOKUP($O13,GW!$C:$AZ,'Pomocný'!T$1,FALSE)=T$14,1,0)</f>
        <v>#N/A</v>
      </c>
      <c r="U13" s="2" t="str">
        <f>IF(VLOOKUP($O13,GW!$C:$AZ,'Pomocný'!U$1,FALSE)=U$14,1,0)</f>
        <v>#N/A</v>
      </c>
      <c r="V13" s="2" t="str">
        <f>IF(VLOOKUP($O13,GW!$C:$AZ,'Pomocný'!V$1,FALSE)=V$14,1,0)</f>
        <v>#N/A</v>
      </c>
      <c r="W13" s="2" t="str">
        <f>IF(VLOOKUP($O13,GW!$C:$AZ,'Pomocný'!W$1,FALSE)=W$14,1,0)</f>
        <v>#N/A</v>
      </c>
      <c r="X13" s="2" t="str">
        <f>IF(VLOOKUP($O13,GW!$C:$AZ,'Pomocný'!X$1,FALSE)=X$14,1,0)</f>
        <v>#N/A</v>
      </c>
      <c r="Y13" s="2" t="str">
        <f>IF(VLOOKUP($O13,GW!$C:$AZ,'Pomocný'!Y$1,FALSE)=Y$14,1,0)</f>
        <v>#N/A</v>
      </c>
      <c r="Z13" s="2" t="str">
        <f>IF(VLOOKUP($O13,GW!$C:$AZ,'Pomocný'!Z$1,FALSE)=Z$14,1,0)</f>
        <v>#N/A</v>
      </c>
      <c r="AA13" s="2" t="str">
        <f>IF(VLOOKUP($O13,GW!$C:$AZ,'Pomocný'!AA$1,FALSE)=AA$14,1,0)</f>
        <v>#N/A</v>
      </c>
      <c r="AB13" s="2" t="str">
        <f>IF(VLOOKUP($O13,GW!$C:$AZ,'Pomocný'!AB$1,FALSE)=AB$14,1,0)</f>
        <v>#N/A</v>
      </c>
      <c r="AC13" s="2" t="str">
        <f>IF(VLOOKUP($O13,GW!$C:$AZ,'Pomocný'!AC$1,FALSE)=AC$14,1,0)</f>
        <v>#N/A</v>
      </c>
      <c r="AD13" s="2" t="str">
        <f>IF(VLOOKUP($O13,GW!$C:$AZ,'Pomocný'!AD$1,FALSE)=AD$14,1,0)</f>
        <v>#N/A</v>
      </c>
      <c r="AE13" s="2" t="str">
        <f>IF(VLOOKUP($O13,GW!$C:$AZ,'Pomocný'!AE$1,FALSE)=AE$14,1,0)</f>
        <v>#N/A</v>
      </c>
      <c r="AF13" s="2" t="str">
        <f>IF(VLOOKUP($O13,GW!$C:$AZ,'Pomocný'!AF$1,FALSE)=AF$14,1,0)</f>
        <v>#N/A</v>
      </c>
      <c r="AG13" s="2" t="str">
        <f>IF(VLOOKUP($O13,GW!$C:$AZ,'Pomocný'!AG$1,FALSE)=AG$14,1,0)</f>
        <v>#N/A</v>
      </c>
      <c r="AH13" s="2" t="str">
        <f>IF(VLOOKUP($O13,GW!$C:$AZ,'Pomocný'!AH$1,FALSE)=AH$14,1,0)</f>
        <v>#N/A</v>
      </c>
      <c r="AI13" s="2" t="str">
        <f>IF(VLOOKUP($O13,GW!$C:$AZ,'Pomocný'!AI$1,FALSE)=AI$14,1,0)</f>
        <v>#N/A</v>
      </c>
      <c r="AJ13" s="2" t="str">
        <f>IF(VLOOKUP($O13,GW!$C:$AZ,'Pomocný'!AJ$1,FALSE)=AJ$14,1,0)</f>
        <v>#N/A</v>
      </c>
      <c r="AK13" s="2" t="str">
        <f>IF(VLOOKUP($O13,GW!$C:$AZ,'Pomocný'!AK$1,FALSE)=AK$14,1,0)</f>
        <v>#N/A</v>
      </c>
      <c r="AL13" s="2" t="str">
        <f>IF(VLOOKUP($O13,GW!$C:$AZ,'Pomocný'!AL$1,FALSE)=AL$14,1,0)</f>
        <v>#N/A</v>
      </c>
      <c r="AM13" s="2" t="str">
        <f>IF(VLOOKUP($O13,GW!$C:$AZ,'Pomocný'!AM$1,FALSE)=AM$14,1,0)</f>
        <v>#N/A</v>
      </c>
      <c r="AN13" s="2" t="str">
        <f>IF(VLOOKUP($O13,GW!$C:$AZ,'Pomocný'!AN$1,FALSE)=AN$14,1,0)</f>
        <v>#N/A</v>
      </c>
      <c r="AO13" s="2" t="str">
        <f>IF(VLOOKUP($O13,GW!$C:$AZ,'Pomocný'!AO$1,FALSE)=AO$14,1,0)</f>
        <v>#N/A</v>
      </c>
      <c r="AP13" s="2" t="str">
        <f>IF(VLOOKUP($O13,GW!$C:$AZ,'Pomocný'!AP$1,FALSE)=AP$14,1,0)</f>
        <v>#N/A</v>
      </c>
      <c r="AQ13" s="2" t="str">
        <f>IF(VLOOKUP($O13,GW!$C:$AZ,'Pomocný'!AQ$1,FALSE)=AQ$14,1,0)</f>
        <v>#N/A</v>
      </c>
      <c r="AR13" s="2" t="str">
        <f>IF(VLOOKUP($O13,GW!$C:$AZ,'Pomocný'!AR$1,FALSE)=AR$14,1,0)</f>
        <v>#N/A</v>
      </c>
      <c r="AS13" s="2" t="str">
        <f>IF(VLOOKUP($O13,GW!$C:$AZ,'Pomocný'!AS$1,FALSE)=AS$14,1,0)</f>
        <v>#N/A</v>
      </c>
      <c r="AT13" s="2" t="str">
        <f>IF(VLOOKUP($O13,GW!$C:$AZ,'Pomocný'!AT$1,FALSE)=AT$14,1,0)</f>
        <v>#N/A</v>
      </c>
      <c r="AU13" s="2" t="str">
        <f>IF(VLOOKUP($O13,GW!$C:$AZ,'Pomocný'!AU$1,FALSE)=AU$14,1,0)</f>
        <v>#N/A</v>
      </c>
      <c r="AV13" s="2" t="str">
        <f>IF(VLOOKUP($O13,GW!$C:$AZ,'Pomocný'!AV$1,FALSE)=AV$14,1,0)</f>
        <v>#N/A</v>
      </c>
      <c r="AW13" s="2" t="str">
        <f>IF(VLOOKUP($O13,GW!$C:$AZ,'Pomocný'!AW$1,FALSE)=AW$14,1,0)</f>
        <v>#N/A</v>
      </c>
      <c r="AX13" s="2" t="str">
        <f>IF(VLOOKUP($O13,GW!$C:$AZ,'Pomocný'!AX$1,FALSE)=AX$14,1,0)</f>
        <v>#N/A</v>
      </c>
      <c r="AY13" s="2" t="str">
        <f>IF(VLOOKUP($O13,GW!$C:$AZ,'Pomocný'!AY$1,FALSE)=AY$14,1,0)</f>
        <v>#N/A</v>
      </c>
      <c r="AZ13" s="2" t="str">
        <f>IF(VLOOKUP($O13,GW!$C:$AZ,'Pomocný'!AZ$1,FALSE)=AZ$14,1,0)</f>
        <v>#N/A</v>
      </c>
      <c r="BA13" s="2" t="str">
        <f>IF(VLOOKUP($O13,GW!$C:$AZ,'Pomocný'!BA$1,FALSE)=BA$14,1,0)</f>
        <v>#N/A</v>
      </c>
      <c r="BB13" s="2" t="str">
        <f>IF(VLOOKUP($O13,GW!$C:$AZ,'Pomocný'!BB$1,FALSE)=BB$14,1,0)</f>
        <v>#N/A</v>
      </c>
    </row>
    <row r="14" ht="14.25" customHeight="1">
      <c r="Q14" s="26">
        <f>IF(HLOOKUP(Q2,GW!3:14,2,FALSE)=0,-1,MAX(GW!O$4:O$14))</f>
        <v>94</v>
      </c>
      <c r="R14" s="26">
        <f>IF(HLOOKUP(R2,GW!3:14,2,FALSE)=0,-1,MAX(GW!P$4:P$14))</f>
        <v>109</v>
      </c>
      <c r="S14" s="26">
        <f>IF(HLOOKUP(S2,GW!3:14,2,FALSE)=0,-1,MAX(GW!Q$4:Q$14))</f>
        <v>85</v>
      </c>
      <c r="T14" s="26">
        <f>IF(HLOOKUP(T2,GW!3:14,2,FALSE)=0,-1,MAX(GW!R$4:R$14))</f>
        <v>67</v>
      </c>
      <c r="U14" s="26">
        <f>IF(HLOOKUP(U2,GW!3:14,2,FALSE)=0,-1,MAX(GW!S$4:S$14))</f>
        <v>77</v>
      </c>
      <c r="V14" s="26">
        <f>IF(HLOOKUP(V2,GW!3:14,2,FALSE)=0,-1,MAX(GW!T$4:T$14))</f>
        <v>106</v>
      </c>
      <c r="W14" s="26">
        <f>IF(HLOOKUP(W2,GW!3:14,2,FALSE)=0,-1,MAX(GW!U$4:U$14))</f>
        <v>76</v>
      </c>
      <c r="X14" s="26">
        <f>IF(HLOOKUP(X2,GW!3:14,2,FALSE)=0,-1,MAX(GW!V$4:V$14))</f>
        <v>59</v>
      </c>
      <c r="Y14" s="26">
        <f>IF(HLOOKUP(Y2,GW!3:14,2,FALSE)=0,-1,MAX(GW!W$4:W$14))</f>
        <v>74</v>
      </c>
      <c r="Z14" s="26">
        <f>IF(HLOOKUP(Z2,GW!3:14,2,FALSE)=0,-1,MAX(GW!X$4:X$14))</f>
        <v>56</v>
      </c>
      <c r="AA14" s="26">
        <f>IF(HLOOKUP(AA2,GW!3:14,2,FALSE)=0,-1,MAX(GW!Y$4:Y$14))</f>
        <v>79</v>
      </c>
      <c r="AB14" s="26">
        <f>IF(HLOOKUP(AB2,GW!3:14,2,FALSE)=0,-1,MAX(GW!Z$4:Z$14))</f>
        <v>75</v>
      </c>
      <c r="AC14" s="26">
        <f>IF(HLOOKUP(AC2,GW!3:14,2,FALSE)=0,-1,MAX(GW!AA$4:AA$14))</f>
        <v>91</v>
      </c>
      <c r="AD14" s="26">
        <f>IF(HLOOKUP(AD2,GW!3:14,2,FALSE)=0,-1,MAX(GW!AB$4:AB$14))</f>
        <v>86</v>
      </c>
      <c r="AE14" s="26">
        <f>IF(HLOOKUP(AE2,GW!3:14,2,FALSE)=0,-1,MAX(GW!AC$4:AC$14))</f>
        <v>80</v>
      </c>
      <c r="AF14" s="26">
        <f>IF(HLOOKUP(AF2,GW!3:14,2,FALSE)=0,-1,MAX(GW!AD$4:AD$14))</f>
        <v>65</v>
      </c>
      <c r="AG14" s="26">
        <f>IF(HLOOKUP(AG2,GW!3:14,2,FALSE)=0,-1,MAX(GW!AE$4:AE$14))</f>
        <v>83</v>
      </c>
      <c r="AH14" s="26">
        <f>IF(HLOOKUP(AH2,GW!3:14,2,FALSE)=0,-1,MAX(GW!AF$4:AF$14))</f>
        <v>63</v>
      </c>
      <c r="AI14" s="26">
        <f>IF(HLOOKUP(AI2,GW!3:14,2,FALSE)=0,-1,MAX(GW!AG$4:AG$14))</f>
        <v>93</v>
      </c>
      <c r="AJ14" s="26">
        <f>IF(HLOOKUP(AJ2,GW!3:14,2,FALSE)=0,-1,MAX(GW!AH$4:AH$14))</f>
        <v>84</v>
      </c>
      <c r="AK14" s="26">
        <f>IF(HLOOKUP(AK2,GW!3:14,2,FALSE)=0,-1,MAX(GW!AI$4:AI$14))</f>
        <v>93</v>
      </c>
      <c r="AL14" s="26">
        <f>IF(HLOOKUP(AL2,GW!3:14,2,FALSE)=0,-1,MAX(GW!AJ$4:AJ$14))</f>
        <v>59</v>
      </c>
      <c r="AM14" s="26">
        <f>IF(HLOOKUP(AM2,GW!3:14,2,FALSE)=0,-1,MAX(GW!AK$4:AK$14))</f>
        <v>81</v>
      </c>
      <c r="AN14" s="26">
        <f>IF(HLOOKUP(AN2,GW!3:14,2,FALSE)=0,-1,MAX(GW!AL$4:AL$14))</f>
        <v>140</v>
      </c>
      <c r="AO14" s="26">
        <f>IF(HLOOKUP(AO2,GW!3:14,2,FALSE)=0,-1,MAX(GW!AM$4:AM$14))</f>
        <v>104</v>
      </c>
      <c r="AP14" s="26">
        <f>IF(HLOOKUP(AP2,GW!3:14,2,FALSE)=0,-1,MAX(GW!AN$4:AN$14))</f>
        <v>86</v>
      </c>
      <c r="AQ14" s="26">
        <f>IF(HLOOKUP(AQ2,GW!3:14,2,FALSE)=0,-1,MAX(GW!AO$4:AO$14))</f>
        <v>76</v>
      </c>
      <c r="AR14" s="26">
        <f>IF(HLOOKUP(AR2,GW!3:14,2,FALSE)=0,-1,MAX(GW!AP$4:AP$14))</f>
        <v>94</v>
      </c>
      <c r="AS14" s="26">
        <f>IF(HLOOKUP(AS2,GW!3:14,2,FALSE)=0,-1,MAX(GW!AQ$4:AQ$14))</f>
        <v>90</v>
      </c>
      <c r="AT14" s="26">
        <f>IF(HLOOKUP(AT2,GW!3:14,2,FALSE)=0,-1,MAX(GW!AR$4:AR$14))</f>
        <v>70</v>
      </c>
      <c r="AU14" s="26">
        <f>IF(HLOOKUP(AU2,GW!3:14,2,FALSE)=0,-1,MAX(GW!AS$4:AS$14))</f>
        <v>53</v>
      </c>
      <c r="AV14" s="26">
        <f>IF(HLOOKUP(AV2,GW!3:14,2,FALSE)=0,-1,MAX(GW!AT$4:AT$14))</f>
        <v>120</v>
      </c>
      <c r="AW14" s="26">
        <f>IF(HLOOKUP(AW2,GW!3:14,2,FALSE)=0,-1,MAX(GW!AU$4:AU$14))</f>
        <v>82</v>
      </c>
      <c r="AX14" s="26">
        <f>IF(HLOOKUP(AX2,GW!3:14,2,FALSE)=0,-1,MAX(GW!AV$4:AV$14))</f>
        <v>78</v>
      </c>
      <c r="AY14" s="26">
        <f>IF(HLOOKUP(AY2,GW!3:14,2,FALSE)=0,-1,MAX(GW!AW$4:AW$14))</f>
        <v>50</v>
      </c>
      <c r="AZ14" s="26">
        <f>IF(HLOOKUP(AZ2,GW!3:14,2,FALSE)=0,-1,MAX(GW!AX$4:AX$14))</f>
        <v>66</v>
      </c>
      <c r="BA14" s="26">
        <f>IF(HLOOKUP(BA2,GW!3:14,2,FALSE)=0,-1,MAX(GW!AY$4:AY$14))</f>
        <v>74</v>
      </c>
      <c r="BB14" s="26">
        <f>IF(HLOOKUP(BB2,GW!3:14,2,FALSE)=0,-1,MAX(GW!AZ$4:AZ$14))</f>
        <v>74</v>
      </c>
    </row>
    <row r="15" ht="14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6"/>
      <c r="R15" s="26"/>
      <c r="S15" s="26"/>
      <c r="T15" s="26"/>
      <c r="U15" s="26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</row>
    <row r="16" ht="14.25" customHeight="1">
      <c r="B16" s="2" t="s">
        <v>75</v>
      </c>
      <c r="C16" s="2">
        <f t="shared" ref="C16:D16" si="2">RANK(C3,C$3:C$13)</f>
        <v>2</v>
      </c>
      <c r="D16" s="2">
        <f t="shared" si="2"/>
        <v>9</v>
      </c>
      <c r="E16" s="2">
        <f t="shared" ref="E16:L16" si="3">IF(E3=0,"",RANK(E3,E$3:E$13))</f>
        <v>10</v>
      </c>
      <c r="F16" s="2">
        <f t="shared" si="3"/>
        <v>5</v>
      </c>
      <c r="G16" s="2">
        <f t="shared" si="3"/>
        <v>5</v>
      </c>
      <c r="H16" s="2">
        <f t="shared" si="3"/>
        <v>9</v>
      </c>
      <c r="I16" s="2">
        <f t="shared" si="3"/>
        <v>8</v>
      </c>
      <c r="J16" s="2">
        <f t="shared" si="3"/>
        <v>3</v>
      </c>
      <c r="K16" s="2">
        <f t="shared" si="3"/>
        <v>4</v>
      </c>
      <c r="L16" s="2">
        <f t="shared" si="3"/>
        <v>7</v>
      </c>
      <c r="M16" s="2" t="s">
        <v>75</v>
      </c>
      <c r="O16" s="2" t="s">
        <v>75</v>
      </c>
      <c r="P16" s="2">
        <f t="shared" ref="P16:P26" si="6">SUM(Q16:BB16)</f>
        <v>2</v>
      </c>
      <c r="Q16" s="2">
        <f>IF(VLOOKUP($O16,GW!$C:$AZ,'Pomocný'!Q$1,FALSE)=Q$27,1,0)</f>
        <v>0</v>
      </c>
      <c r="R16" s="2">
        <f>IF(VLOOKUP($O16,GW!$C:$AZ,'Pomocný'!R$1,FALSE)=R$27,1,0)</f>
        <v>0</v>
      </c>
      <c r="S16" s="2">
        <f>IF(VLOOKUP($O16,GW!$C:$AZ,'Pomocný'!S$1,FALSE)=S$27,1,0)</f>
        <v>0</v>
      </c>
      <c r="T16" s="2">
        <f>IF(VLOOKUP($O16,GW!$C:$AZ,'Pomocný'!T$1,FALSE)=T$27,1,0)</f>
        <v>0</v>
      </c>
      <c r="U16" s="2">
        <f>IF(VLOOKUP($O16,GW!$C:$AZ,'Pomocný'!U$1,FALSE)=U$27,1,0)</f>
        <v>0</v>
      </c>
      <c r="V16" s="2">
        <f>IF(VLOOKUP($O16,GW!$C:$AZ,'Pomocný'!V$1,FALSE)=V$27,1,0)</f>
        <v>0</v>
      </c>
      <c r="W16" s="2">
        <f>IF(VLOOKUP($O16,GW!$C:$AZ,'Pomocný'!W$1,FALSE)=W$27,1,0)</f>
        <v>0</v>
      </c>
      <c r="X16" s="2">
        <f>IF(VLOOKUP($O16,GW!$C:$AZ,'Pomocný'!X$1,FALSE)=X$27,1,0)</f>
        <v>0</v>
      </c>
      <c r="Y16" s="2">
        <f>IF(VLOOKUP($O16,GW!$C:$AZ,'Pomocný'!Y$1,FALSE)=Y$27,1,0)</f>
        <v>0</v>
      </c>
      <c r="Z16" s="2">
        <f>IF(VLOOKUP($O16,GW!$C:$AZ,'Pomocný'!Z$1,FALSE)=Z$27,1,0)</f>
        <v>0</v>
      </c>
      <c r="AA16" s="2">
        <f>IF(VLOOKUP($O16,GW!$C:$AZ,'Pomocný'!AA$1,FALSE)=AA$27,1,0)</f>
        <v>0</v>
      </c>
      <c r="AB16" s="2">
        <f>IF(VLOOKUP($O16,GW!$C:$AZ,'Pomocný'!AB$1,FALSE)=AB$27,1,0)</f>
        <v>0</v>
      </c>
      <c r="AC16" s="2">
        <f>IF(VLOOKUP($O16,GW!$C:$AZ,'Pomocný'!AC$1,FALSE)=AC$27,1,0)</f>
        <v>0</v>
      </c>
      <c r="AD16" s="2">
        <f>IF(VLOOKUP($O16,GW!$C:$AZ,'Pomocný'!AD$1,FALSE)=AD$27,1,0)</f>
        <v>0</v>
      </c>
      <c r="AE16" s="2">
        <f>IF(VLOOKUP($O16,GW!$C:$AZ,'Pomocný'!AE$1,FALSE)=AE$27,1,0)</f>
        <v>0</v>
      </c>
      <c r="AF16" s="2">
        <f>IF(VLOOKUP($O16,GW!$C:$AZ,'Pomocný'!AF$1,FALSE)=AF$27,1,0)</f>
        <v>0</v>
      </c>
      <c r="AG16" s="2">
        <f>IF(VLOOKUP($O16,GW!$C:$AZ,'Pomocný'!AG$1,FALSE)=AG$27,1,0)</f>
        <v>0</v>
      </c>
      <c r="AH16" s="2">
        <f>IF(VLOOKUP($O16,GW!$C:$AZ,'Pomocný'!AH$1,FALSE)=AH$27,1,0)</f>
        <v>0</v>
      </c>
      <c r="AI16" s="2">
        <f>IF(VLOOKUP($O16,GW!$C:$AZ,'Pomocný'!AI$1,FALSE)=AI$27,1,0)</f>
        <v>0</v>
      </c>
      <c r="AJ16" s="2">
        <f>IF(VLOOKUP($O16,GW!$C:$AZ,'Pomocný'!AJ$1,FALSE)=AJ$27,1,0)</f>
        <v>0</v>
      </c>
      <c r="AK16" s="2">
        <f>IF(VLOOKUP($O16,GW!$C:$AZ,'Pomocný'!AK$1,FALSE)=AK$27,1,0)</f>
        <v>0</v>
      </c>
      <c r="AL16" s="2">
        <f>IF(VLOOKUP($O16,GW!$C:$AZ,'Pomocný'!AL$1,FALSE)=AL$27,1,0)</f>
        <v>0</v>
      </c>
      <c r="AM16" s="2">
        <f>IF(VLOOKUP($O16,GW!$C:$AZ,'Pomocný'!AM$1,FALSE)=AM$27,1,0)</f>
        <v>0</v>
      </c>
      <c r="AN16" s="2">
        <f>IF(VLOOKUP($O16,GW!$C:$AZ,'Pomocný'!AN$1,FALSE)=AN$27,1,0)</f>
        <v>0</v>
      </c>
      <c r="AO16" s="2">
        <f>IF(VLOOKUP($O16,GW!$C:$AZ,'Pomocný'!AO$1,FALSE)=AO$27,1,0)</f>
        <v>0</v>
      </c>
      <c r="AP16" s="2">
        <f>IF(VLOOKUP($O16,GW!$C:$AZ,'Pomocný'!AP$1,FALSE)=AP$27,1,0)</f>
        <v>0</v>
      </c>
      <c r="AQ16" s="2">
        <f>IF(VLOOKUP($O16,GW!$C:$AZ,'Pomocný'!AQ$1,FALSE)=AQ$27,1,0)</f>
        <v>1</v>
      </c>
      <c r="AR16" s="2">
        <f>IF(VLOOKUP($O16,GW!$C:$AZ,'Pomocný'!AR$1,FALSE)=AR$27,1,0)</f>
        <v>0</v>
      </c>
      <c r="AS16" s="2">
        <f>IF(VLOOKUP($O16,GW!$C:$AZ,'Pomocný'!AS$1,FALSE)=AS$27,1,0)</f>
        <v>0</v>
      </c>
      <c r="AT16" s="2">
        <f>IF(VLOOKUP($O16,GW!$C:$AZ,'Pomocný'!AT$1,FALSE)=AT$27,1,0)</f>
        <v>0</v>
      </c>
      <c r="AU16" s="2">
        <f>IF(VLOOKUP($O16,GW!$C:$AZ,'Pomocný'!AU$1,FALSE)=AU$27,1,0)</f>
        <v>0</v>
      </c>
      <c r="AV16" s="2">
        <f>IF(VLOOKUP($O16,GW!$C:$AZ,'Pomocný'!AV$1,FALSE)=AV$27,1,0)</f>
        <v>0</v>
      </c>
      <c r="AW16" s="2">
        <f>IF(VLOOKUP($O16,GW!$C:$AZ,'Pomocný'!AW$1,FALSE)=AW$27,1,0)</f>
        <v>1</v>
      </c>
      <c r="AX16" s="2">
        <f>IF(VLOOKUP($O16,GW!$C:$AZ,'Pomocný'!AX$1,FALSE)=AX$27,1,0)</f>
        <v>0</v>
      </c>
      <c r="AY16" s="2">
        <f>IF(VLOOKUP($O16,GW!$C:$AZ,'Pomocný'!AY$1,FALSE)=AY$27,1,0)</f>
        <v>0</v>
      </c>
      <c r="AZ16" s="2">
        <f>IF(VLOOKUP($O16,GW!$C:$AZ,'Pomocný'!AZ$1,FALSE)=AZ$27,1,0)</f>
        <v>0</v>
      </c>
      <c r="BA16" s="2">
        <f>IF(VLOOKUP($O16,GW!$C:$AZ,'Pomocný'!BA$1,FALSE)=BA$27,1,0)</f>
        <v>0</v>
      </c>
      <c r="BB16" s="2">
        <f>IF(VLOOKUP($O16,GW!$C:$AZ,'Pomocný'!BB$1,FALSE)=BB$27,1,0)</f>
        <v>0</v>
      </c>
    </row>
    <row r="17" ht="14.25" customHeight="1">
      <c r="B17" s="2" t="s">
        <v>72</v>
      </c>
      <c r="C17" s="2">
        <f t="shared" ref="C17:D17" si="4">RANK(C4,C$3:C$13)</f>
        <v>7</v>
      </c>
      <c r="D17" s="2">
        <f t="shared" si="4"/>
        <v>3</v>
      </c>
      <c r="E17" s="2">
        <f t="shared" ref="E17:L17" si="5">IF(E4=0,"",RANK(E4,E$3:E$13))</f>
        <v>6</v>
      </c>
      <c r="F17" s="2">
        <f t="shared" si="5"/>
        <v>6</v>
      </c>
      <c r="G17" s="2">
        <f t="shared" si="5"/>
        <v>6</v>
      </c>
      <c r="H17" s="2">
        <f t="shared" si="5"/>
        <v>3</v>
      </c>
      <c r="I17" s="2">
        <f t="shared" si="5"/>
        <v>7</v>
      </c>
      <c r="J17" s="2">
        <f t="shared" si="5"/>
        <v>8</v>
      </c>
      <c r="K17" s="2">
        <f t="shared" si="5"/>
        <v>5</v>
      </c>
      <c r="L17" s="2">
        <f t="shared" si="5"/>
        <v>6</v>
      </c>
      <c r="M17" s="2" t="s">
        <v>72</v>
      </c>
      <c r="O17" s="2" t="s">
        <v>72</v>
      </c>
      <c r="P17" s="2">
        <f t="shared" si="6"/>
        <v>2</v>
      </c>
      <c r="Q17" s="2">
        <f>IF(VLOOKUP($O17,GW!$C:$AZ,'Pomocný'!Q$1,FALSE)=Q$27,1,0)</f>
        <v>0</v>
      </c>
      <c r="R17" s="2">
        <f>IF(VLOOKUP($O17,GW!$C:$AZ,'Pomocný'!R$1,FALSE)=R$27,1,0)</f>
        <v>0</v>
      </c>
      <c r="S17" s="2">
        <f>IF(VLOOKUP($O17,GW!$C:$AZ,'Pomocný'!S$1,FALSE)=S$27,1,0)</f>
        <v>0</v>
      </c>
      <c r="T17" s="2">
        <f>IF(VLOOKUP($O17,GW!$C:$AZ,'Pomocný'!T$1,FALSE)=T$27,1,0)</f>
        <v>0</v>
      </c>
      <c r="U17" s="2">
        <f>IF(VLOOKUP($O17,GW!$C:$AZ,'Pomocný'!U$1,FALSE)=U$27,1,0)</f>
        <v>0</v>
      </c>
      <c r="V17" s="2">
        <f>IF(VLOOKUP($O17,GW!$C:$AZ,'Pomocný'!V$1,FALSE)=V$27,1,0)</f>
        <v>0</v>
      </c>
      <c r="W17" s="2">
        <f>IF(VLOOKUP($O17,GW!$C:$AZ,'Pomocný'!W$1,FALSE)=W$27,1,0)</f>
        <v>0</v>
      </c>
      <c r="X17" s="2">
        <f>IF(VLOOKUP($O17,GW!$C:$AZ,'Pomocný'!X$1,FALSE)=X$27,1,0)</f>
        <v>0</v>
      </c>
      <c r="Y17" s="2">
        <f>IF(VLOOKUP($O17,GW!$C:$AZ,'Pomocný'!Y$1,FALSE)=Y$27,1,0)</f>
        <v>0</v>
      </c>
      <c r="Z17" s="2">
        <f>IF(VLOOKUP($O17,GW!$C:$AZ,'Pomocný'!Z$1,FALSE)=Z$27,1,0)</f>
        <v>0</v>
      </c>
      <c r="AA17" s="2">
        <f>IF(VLOOKUP($O17,GW!$C:$AZ,'Pomocný'!AA$1,FALSE)=AA$27,1,0)</f>
        <v>0</v>
      </c>
      <c r="AB17" s="2">
        <f>IF(VLOOKUP($O17,GW!$C:$AZ,'Pomocný'!AB$1,FALSE)=AB$27,1,0)</f>
        <v>0</v>
      </c>
      <c r="AC17" s="2">
        <f>IF(VLOOKUP($O17,GW!$C:$AZ,'Pomocný'!AC$1,FALSE)=AC$27,1,0)</f>
        <v>0</v>
      </c>
      <c r="AD17" s="2">
        <f>IF(VLOOKUP($O17,GW!$C:$AZ,'Pomocný'!AD$1,FALSE)=AD$27,1,0)</f>
        <v>0</v>
      </c>
      <c r="AE17" s="2">
        <f>IF(VLOOKUP($O17,GW!$C:$AZ,'Pomocný'!AE$1,FALSE)=AE$27,1,0)</f>
        <v>0</v>
      </c>
      <c r="AF17" s="2">
        <f>IF(VLOOKUP($O17,GW!$C:$AZ,'Pomocný'!AF$1,FALSE)=AF$27,1,0)</f>
        <v>1</v>
      </c>
      <c r="AG17" s="2">
        <f>IF(VLOOKUP($O17,GW!$C:$AZ,'Pomocný'!AG$1,FALSE)=AG$27,1,0)</f>
        <v>0</v>
      </c>
      <c r="AH17" s="2">
        <f>IF(VLOOKUP($O17,GW!$C:$AZ,'Pomocný'!AH$1,FALSE)=AH$27,1,0)</f>
        <v>0</v>
      </c>
      <c r="AI17" s="2">
        <f>IF(VLOOKUP($O17,GW!$C:$AZ,'Pomocný'!AI$1,FALSE)=AI$27,1,0)</f>
        <v>0</v>
      </c>
      <c r="AJ17" s="2">
        <f>IF(VLOOKUP($O17,GW!$C:$AZ,'Pomocný'!AJ$1,FALSE)=AJ$27,1,0)</f>
        <v>0</v>
      </c>
      <c r="AK17" s="2">
        <f>IF(VLOOKUP($O17,GW!$C:$AZ,'Pomocný'!AK$1,FALSE)=AK$27,1,0)</f>
        <v>0</v>
      </c>
      <c r="AL17" s="2">
        <f>IF(VLOOKUP($O17,GW!$C:$AZ,'Pomocný'!AL$1,FALSE)=AL$27,1,0)</f>
        <v>0</v>
      </c>
      <c r="AM17" s="2">
        <f>IF(VLOOKUP($O17,GW!$C:$AZ,'Pomocný'!AM$1,FALSE)=AM$27,1,0)</f>
        <v>0</v>
      </c>
      <c r="AN17" s="2">
        <f>IF(VLOOKUP($O17,GW!$C:$AZ,'Pomocný'!AN$1,FALSE)=AN$27,1,0)</f>
        <v>0</v>
      </c>
      <c r="AO17" s="2">
        <f>IF(VLOOKUP($O17,GW!$C:$AZ,'Pomocný'!AO$1,FALSE)=AO$27,1,0)</f>
        <v>0</v>
      </c>
      <c r="AP17" s="2">
        <f>IF(VLOOKUP($O17,GW!$C:$AZ,'Pomocný'!AP$1,FALSE)=AP$27,1,0)</f>
        <v>0</v>
      </c>
      <c r="AQ17" s="2">
        <f>IF(VLOOKUP($O17,GW!$C:$AZ,'Pomocný'!AQ$1,FALSE)=AQ$27,1,0)</f>
        <v>0</v>
      </c>
      <c r="AR17" s="2">
        <f>IF(VLOOKUP($O17,GW!$C:$AZ,'Pomocný'!AR$1,FALSE)=AR$27,1,0)</f>
        <v>0</v>
      </c>
      <c r="AS17" s="2">
        <f>IF(VLOOKUP($O17,GW!$C:$AZ,'Pomocný'!AS$1,FALSE)=AS$27,1,0)</f>
        <v>0</v>
      </c>
      <c r="AT17" s="2">
        <f>IF(VLOOKUP($O17,GW!$C:$AZ,'Pomocný'!AT$1,FALSE)=AT$27,1,0)</f>
        <v>0</v>
      </c>
      <c r="AU17" s="2">
        <f>IF(VLOOKUP($O17,GW!$C:$AZ,'Pomocný'!AU$1,FALSE)=AU$27,1,0)</f>
        <v>0</v>
      </c>
      <c r="AV17" s="2">
        <f>IF(VLOOKUP($O17,GW!$C:$AZ,'Pomocný'!AV$1,FALSE)=AV$27,1,0)</f>
        <v>0</v>
      </c>
      <c r="AW17" s="2">
        <f>IF(VLOOKUP($O17,GW!$C:$AZ,'Pomocný'!AW$1,FALSE)=AW$27,1,0)</f>
        <v>0</v>
      </c>
      <c r="AX17" s="2">
        <f>IF(VLOOKUP($O17,GW!$C:$AZ,'Pomocný'!AX$1,FALSE)=AX$27,1,0)</f>
        <v>0</v>
      </c>
      <c r="AY17" s="2">
        <f>IF(VLOOKUP($O17,GW!$C:$AZ,'Pomocný'!AY$1,FALSE)=AY$27,1,0)</f>
        <v>0</v>
      </c>
      <c r="AZ17" s="2">
        <f>IF(VLOOKUP($O17,GW!$C:$AZ,'Pomocný'!AZ$1,FALSE)=AZ$27,1,0)</f>
        <v>0</v>
      </c>
      <c r="BA17" s="2">
        <f>IF(VLOOKUP($O17,GW!$C:$AZ,'Pomocný'!BA$1,FALSE)=BA$27,1,0)</f>
        <v>0</v>
      </c>
      <c r="BB17" s="2">
        <f>IF(VLOOKUP($O17,GW!$C:$AZ,'Pomocný'!BB$1,FALSE)=BB$27,1,0)</f>
        <v>1</v>
      </c>
    </row>
    <row r="18" ht="14.25" customHeight="1">
      <c r="B18" s="2" t="s">
        <v>67</v>
      </c>
      <c r="C18" s="2">
        <f t="shared" ref="C18:D18" si="7">RANK(C5,C$3:C$13)</f>
        <v>2</v>
      </c>
      <c r="D18" s="2">
        <f t="shared" si="7"/>
        <v>4</v>
      </c>
      <c r="E18" s="2">
        <f t="shared" ref="E18:L18" si="8">IF(E5=0,"",RANK(E5,E$3:E$13))</f>
        <v>1</v>
      </c>
      <c r="F18" s="2">
        <f t="shared" si="8"/>
        <v>1</v>
      </c>
      <c r="G18" s="2">
        <f t="shared" si="8"/>
        <v>7</v>
      </c>
      <c r="H18" s="2">
        <f t="shared" si="8"/>
        <v>1</v>
      </c>
      <c r="I18" s="2">
        <f t="shared" si="8"/>
        <v>9</v>
      </c>
      <c r="J18" s="2">
        <f t="shared" si="8"/>
        <v>5</v>
      </c>
      <c r="K18" s="2">
        <f t="shared" si="8"/>
        <v>2</v>
      </c>
      <c r="L18" s="2">
        <f t="shared" si="8"/>
        <v>4</v>
      </c>
      <c r="M18" s="2" t="s">
        <v>67</v>
      </c>
      <c r="O18" s="2" t="s">
        <v>67</v>
      </c>
      <c r="P18" s="2">
        <f t="shared" si="6"/>
        <v>3</v>
      </c>
      <c r="Q18" s="2">
        <f>IF(VLOOKUP($O18,GW!$C:$AZ,'Pomocný'!Q$1,FALSE)=Q$27,1,0)</f>
        <v>0</v>
      </c>
      <c r="R18" s="2">
        <f>IF(VLOOKUP($O18,GW!$C:$AZ,'Pomocný'!R$1,FALSE)=R$27,1,0)</f>
        <v>0</v>
      </c>
      <c r="S18" s="2">
        <f>IF(VLOOKUP($O18,GW!$C:$AZ,'Pomocný'!S$1,FALSE)=S$27,1,0)</f>
        <v>0</v>
      </c>
      <c r="T18" s="2">
        <f>IF(VLOOKUP($O18,GW!$C:$AZ,'Pomocný'!T$1,FALSE)=T$27,1,0)</f>
        <v>1</v>
      </c>
      <c r="U18" s="2">
        <f>IF(VLOOKUP($O18,GW!$C:$AZ,'Pomocný'!U$1,FALSE)=U$27,1,0)</f>
        <v>1</v>
      </c>
      <c r="V18" s="2">
        <f>IF(VLOOKUP($O18,GW!$C:$AZ,'Pomocný'!V$1,FALSE)=V$27,1,0)</f>
        <v>0</v>
      </c>
      <c r="W18" s="2">
        <f>IF(VLOOKUP($O18,GW!$C:$AZ,'Pomocný'!W$1,FALSE)=W$27,1,0)</f>
        <v>0</v>
      </c>
      <c r="X18" s="2">
        <f>IF(VLOOKUP($O18,GW!$C:$AZ,'Pomocný'!X$1,FALSE)=X$27,1,0)</f>
        <v>0</v>
      </c>
      <c r="Y18" s="2">
        <f>IF(VLOOKUP($O18,GW!$C:$AZ,'Pomocný'!Y$1,FALSE)=Y$27,1,0)</f>
        <v>0</v>
      </c>
      <c r="Z18" s="2">
        <f>IF(VLOOKUP($O18,GW!$C:$AZ,'Pomocný'!Z$1,FALSE)=Z$27,1,0)</f>
        <v>0</v>
      </c>
      <c r="AA18" s="2">
        <f>IF(VLOOKUP($O18,GW!$C:$AZ,'Pomocný'!AA$1,FALSE)=AA$27,1,0)</f>
        <v>0</v>
      </c>
      <c r="AB18" s="2">
        <f>IF(VLOOKUP($O18,GW!$C:$AZ,'Pomocný'!AB$1,FALSE)=AB$27,1,0)</f>
        <v>0</v>
      </c>
      <c r="AC18" s="2">
        <f>IF(VLOOKUP($O18,GW!$C:$AZ,'Pomocný'!AC$1,FALSE)=AC$27,1,0)</f>
        <v>0</v>
      </c>
      <c r="AD18" s="2">
        <f>IF(VLOOKUP($O18,GW!$C:$AZ,'Pomocný'!AD$1,FALSE)=AD$27,1,0)</f>
        <v>0</v>
      </c>
      <c r="AE18" s="2">
        <f>IF(VLOOKUP($O18,GW!$C:$AZ,'Pomocný'!AE$1,FALSE)=AE$27,1,0)</f>
        <v>0</v>
      </c>
      <c r="AF18" s="2">
        <f>IF(VLOOKUP($O18,GW!$C:$AZ,'Pomocný'!AF$1,FALSE)=AF$27,1,0)</f>
        <v>0</v>
      </c>
      <c r="AG18" s="2">
        <f>IF(VLOOKUP($O18,GW!$C:$AZ,'Pomocný'!AG$1,FALSE)=AG$27,1,0)</f>
        <v>0</v>
      </c>
      <c r="AH18" s="2">
        <f>IF(VLOOKUP($O18,GW!$C:$AZ,'Pomocný'!AH$1,FALSE)=AH$27,1,0)</f>
        <v>0</v>
      </c>
      <c r="AI18" s="2">
        <f>IF(VLOOKUP($O18,GW!$C:$AZ,'Pomocný'!AI$1,FALSE)=AI$27,1,0)</f>
        <v>0</v>
      </c>
      <c r="AJ18" s="2">
        <f>IF(VLOOKUP($O18,GW!$C:$AZ,'Pomocný'!AJ$1,FALSE)=AJ$27,1,0)</f>
        <v>0</v>
      </c>
      <c r="AK18" s="2">
        <f>IF(VLOOKUP($O18,GW!$C:$AZ,'Pomocný'!AK$1,FALSE)=AK$27,1,0)</f>
        <v>0</v>
      </c>
      <c r="AL18" s="2">
        <f>IF(VLOOKUP($O18,GW!$C:$AZ,'Pomocný'!AL$1,FALSE)=AL$27,1,0)</f>
        <v>0</v>
      </c>
      <c r="AM18" s="2">
        <f>IF(VLOOKUP($O18,GW!$C:$AZ,'Pomocný'!AM$1,FALSE)=AM$27,1,0)</f>
        <v>0</v>
      </c>
      <c r="AN18" s="2">
        <f>IF(VLOOKUP($O18,GW!$C:$AZ,'Pomocný'!AN$1,FALSE)=AN$27,1,0)</f>
        <v>0</v>
      </c>
      <c r="AO18" s="2">
        <f>IF(VLOOKUP($O18,GW!$C:$AZ,'Pomocný'!AO$1,FALSE)=AO$27,1,0)</f>
        <v>0</v>
      </c>
      <c r="AP18" s="2">
        <f>IF(VLOOKUP($O18,GW!$C:$AZ,'Pomocný'!AP$1,FALSE)=AP$27,1,0)</f>
        <v>0</v>
      </c>
      <c r="AQ18" s="2">
        <f>IF(VLOOKUP($O18,GW!$C:$AZ,'Pomocný'!AQ$1,FALSE)=AQ$27,1,0)</f>
        <v>0</v>
      </c>
      <c r="AR18" s="2">
        <f>IF(VLOOKUP($O18,GW!$C:$AZ,'Pomocný'!AR$1,FALSE)=AR$27,1,0)</f>
        <v>0</v>
      </c>
      <c r="AS18" s="2">
        <f>IF(VLOOKUP($O18,GW!$C:$AZ,'Pomocný'!AS$1,FALSE)=AS$27,1,0)</f>
        <v>0</v>
      </c>
      <c r="AT18" s="2">
        <f>IF(VLOOKUP($O18,GW!$C:$AZ,'Pomocný'!AT$1,FALSE)=AT$27,1,0)</f>
        <v>0</v>
      </c>
      <c r="AU18" s="2">
        <f>IF(VLOOKUP($O18,GW!$C:$AZ,'Pomocný'!AU$1,FALSE)=AU$27,1,0)</f>
        <v>0</v>
      </c>
      <c r="AV18" s="2">
        <f>IF(VLOOKUP($O18,GW!$C:$AZ,'Pomocný'!AV$1,FALSE)=AV$27,1,0)</f>
        <v>0</v>
      </c>
      <c r="AW18" s="2">
        <f>IF(VLOOKUP($O18,GW!$C:$AZ,'Pomocný'!AW$1,FALSE)=AW$27,1,0)</f>
        <v>0</v>
      </c>
      <c r="AX18" s="2">
        <f>IF(VLOOKUP($O18,GW!$C:$AZ,'Pomocný'!AX$1,FALSE)=AX$27,1,0)</f>
        <v>0</v>
      </c>
      <c r="AY18" s="2">
        <f>IF(VLOOKUP($O18,GW!$C:$AZ,'Pomocný'!AY$1,FALSE)=AY$27,1,0)</f>
        <v>0</v>
      </c>
      <c r="AZ18" s="2">
        <f>IF(VLOOKUP($O18,GW!$C:$AZ,'Pomocný'!AZ$1,FALSE)=AZ$27,1,0)</f>
        <v>1</v>
      </c>
      <c r="BA18" s="2">
        <f>IF(VLOOKUP($O18,GW!$C:$AZ,'Pomocný'!BA$1,FALSE)=BA$27,1,0)</f>
        <v>0</v>
      </c>
      <c r="BB18" s="2">
        <f>IF(VLOOKUP($O18,GW!$C:$AZ,'Pomocný'!BB$1,FALSE)=BB$27,1,0)</f>
        <v>0</v>
      </c>
    </row>
    <row r="19" ht="14.25" customHeight="1">
      <c r="B19" s="2" t="s">
        <v>76</v>
      </c>
      <c r="C19" s="2">
        <f t="shared" ref="C19:D19" si="9">RANK(C6,C$3:C$13)</f>
        <v>1</v>
      </c>
      <c r="D19" s="2">
        <f t="shared" si="9"/>
        <v>10</v>
      </c>
      <c r="E19" s="2">
        <f t="shared" ref="E19:L19" si="10">IF(E6=0,"",RANK(E6,E$3:E$13))</f>
        <v>9</v>
      </c>
      <c r="F19" s="2">
        <f t="shared" si="10"/>
        <v>8</v>
      </c>
      <c r="G19" s="2">
        <f t="shared" si="10"/>
        <v>9</v>
      </c>
      <c r="H19" s="2">
        <f t="shared" si="10"/>
        <v>10</v>
      </c>
      <c r="I19" s="2">
        <f t="shared" si="10"/>
        <v>1</v>
      </c>
      <c r="J19" s="2">
        <f t="shared" si="10"/>
        <v>1</v>
      </c>
      <c r="K19" s="2">
        <f t="shared" si="10"/>
        <v>9</v>
      </c>
      <c r="L19" s="2">
        <f t="shared" si="10"/>
        <v>2</v>
      </c>
      <c r="M19" s="2" t="s">
        <v>76</v>
      </c>
      <c r="O19" s="2" t="s">
        <v>76</v>
      </c>
      <c r="P19" s="2">
        <f t="shared" si="6"/>
        <v>8</v>
      </c>
      <c r="Q19" s="2">
        <f>IF(VLOOKUP($O19,GW!$C:$AZ,'Pomocný'!Q$1,FALSE)=Q$27,1,0)</f>
        <v>0</v>
      </c>
      <c r="R19" s="2">
        <f>IF(VLOOKUP($O19,GW!$C:$AZ,'Pomocný'!R$1,FALSE)=R$27,1,0)</f>
        <v>0</v>
      </c>
      <c r="S19" s="2">
        <f>IF(VLOOKUP($O19,GW!$C:$AZ,'Pomocný'!S$1,FALSE)=S$27,1,0)</f>
        <v>0</v>
      </c>
      <c r="T19" s="2">
        <f>IF(VLOOKUP($O19,GW!$C:$AZ,'Pomocný'!T$1,FALSE)=T$27,1,0)</f>
        <v>0</v>
      </c>
      <c r="U19" s="2">
        <f>IF(VLOOKUP($O19,GW!$C:$AZ,'Pomocný'!U$1,FALSE)=U$27,1,0)</f>
        <v>1</v>
      </c>
      <c r="V19" s="2">
        <f>IF(VLOOKUP($O19,GW!$C:$AZ,'Pomocný'!V$1,FALSE)=V$27,1,0)</f>
        <v>0</v>
      </c>
      <c r="W19" s="2">
        <f>IF(VLOOKUP($O19,GW!$C:$AZ,'Pomocný'!W$1,FALSE)=W$27,1,0)</f>
        <v>0</v>
      </c>
      <c r="X19" s="2">
        <f>IF(VLOOKUP($O19,GW!$C:$AZ,'Pomocný'!X$1,FALSE)=X$27,1,0)</f>
        <v>1</v>
      </c>
      <c r="Y19" s="2">
        <f>IF(VLOOKUP($O19,GW!$C:$AZ,'Pomocný'!Y$1,FALSE)=Y$27,1,0)</f>
        <v>0</v>
      </c>
      <c r="Z19" s="2">
        <f>IF(VLOOKUP($O19,GW!$C:$AZ,'Pomocný'!Z$1,FALSE)=Z$27,1,0)</f>
        <v>0</v>
      </c>
      <c r="AA19" s="2">
        <f>IF(VLOOKUP($O19,GW!$C:$AZ,'Pomocný'!AA$1,FALSE)=AA$27,1,0)</f>
        <v>0</v>
      </c>
      <c r="AB19" s="2">
        <f>IF(VLOOKUP($O19,GW!$C:$AZ,'Pomocný'!AB$1,FALSE)=AB$27,1,0)</f>
        <v>1</v>
      </c>
      <c r="AC19" s="2">
        <f>IF(VLOOKUP($O19,GW!$C:$AZ,'Pomocný'!AC$1,FALSE)=AC$27,1,0)</f>
        <v>0</v>
      </c>
      <c r="AD19" s="2">
        <f>IF(VLOOKUP($O19,GW!$C:$AZ,'Pomocný'!AD$1,FALSE)=AD$27,1,0)</f>
        <v>1</v>
      </c>
      <c r="AE19" s="2">
        <f>IF(VLOOKUP($O19,GW!$C:$AZ,'Pomocný'!AE$1,FALSE)=AE$27,1,0)</f>
        <v>0</v>
      </c>
      <c r="AF19" s="2">
        <f>IF(VLOOKUP($O19,GW!$C:$AZ,'Pomocný'!AF$1,FALSE)=AF$27,1,0)</f>
        <v>0</v>
      </c>
      <c r="AG19" s="2">
        <f>IF(VLOOKUP($O19,GW!$C:$AZ,'Pomocný'!AG$1,FALSE)=AG$27,1,0)</f>
        <v>1</v>
      </c>
      <c r="AH19" s="2">
        <f>IF(VLOOKUP($O19,GW!$C:$AZ,'Pomocný'!AH$1,FALSE)=AH$27,1,0)</f>
        <v>0</v>
      </c>
      <c r="AI19" s="2">
        <f>IF(VLOOKUP($O19,GW!$C:$AZ,'Pomocný'!AI$1,FALSE)=AI$27,1,0)</f>
        <v>0</v>
      </c>
      <c r="AJ19" s="2">
        <f>IF(VLOOKUP($O19,GW!$C:$AZ,'Pomocný'!AJ$1,FALSE)=AJ$27,1,0)</f>
        <v>0</v>
      </c>
      <c r="AK19" s="2">
        <f>IF(VLOOKUP($O19,GW!$C:$AZ,'Pomocný'!AK$1,FALSE)=AK$27,1,0)</f>
        <v>1</v>
      </c>
      <c r="AL19" s="2">
        <f>IF(VLOOKUP($O19,GW!$C:$AZ,'Pomocný'!AL$1,FALSE)=AL$27,1,0)</f>
        <v>0</v>
      </c>
      <c r="AM19" s="2">
        <f>IF(VLOOKUP($O19,GW!$C:$AZ,'Pomocný'!AM$1,FALSE)=AM$27,1,0)</f>
        <v>1</v>
      </c>
      <c r="AN19" s="2">
        <f>IF(VLOOKUP($O19,GW!$C:$AZ,'Pomocný'!AN$1,FALSE)=AN$27,1,0)</f>
        <v>0</v>
      </c>
      <c r="AO19" s="2">
        <f>IF(VLOOKUP($O19,GW!$C:$AZ,'Pomocný'!AO$1,FALSE)=AO$27,1,0)</f>
        <v>0</v>
      </c>
      <c r="AP19" s="2">
        <f>IF(VLOOKUP($O19,GW!$C:$AZ,'Pomocný'!AP$1,FALSE)=AP$27,1,0)</f>
        <v>1</v>
      </c>
      <c r="AQ19" s="2">
        <f>IF(VLOOKUP($O19,GW!$C:$AZ,'Pomocný'!AQ$1,FALSE)=AQ$27,1,0)</f>
        <v>0</v>
      </c>
      <c r="AR19" s="2">
        <f>IF(VLOOKUP($O19,GW!$C:$AZ,'Pomocný'!AR$1,FALSE)=AR$27,1,0)</f>
        <v>0</v>
      </c>
      <c r="AS19" s="2">
        <f>IF(VLOOKUP($O19,GW!$C:$AZ,'Pomocný'!AS$1,FALSE)=AS$27,1,0)</f>
        <v>0</v>
      </c>
      <c r="AT19" s="2">
        <f>IF(VLOOKUP($O19,GW!$C:$AZ,'Pomocný'!AT$1,FALSE)=AT$27,1,0)</f>
        <v>0</v>
      </c>
      <c r="AU19" s="2">
        <f>IF(VLOOKUP($O19,GW!$C:$AZ,'Pomocný'!AU$1,FALSE)=AU$27,1,0)</f>
        <v>0</v>
      </c>
      <c r="AV19" s="2">
        <f>IF(VLOOKUP($O19,GW!$C:$AZ,'Pomocný'!AV$1,FALSE)=AV$27,1,0)</f>
        <v>0</v>
      </c>
      <c r="AW19" s="2">
        <f>IF(VLOOKUP($O19,GW!$C:$AZ,'Pomocný'!AW$1,FALSE)=AW$27,1,0)</f>
        <v>0</v>
      </c>
      <c r="AX19" s="2">
        <f>IF(VLOOKUP($O19,GW!$C:$AZ,'Pomocný'!AX$1,FALSE)=AX$27,1,0)</f>
        <v>0</v>
      </c>
      <c r="AY19" s="2">
        <f>IF(VLOOKUP($O19,GW!$C:$AZ,'Pomocný'!AY$1,FALSE)=AY$27,1,0)</f>
        <v>0</v>
      </c>
      <c r="AZ19" s="2">
        <f>IF(VLOOKUP($O19,GW!$C:$AZ,'Pomocný'!AZ$1,FALSE)=AZ$27,1,0)</f>
        <v>0</v>
      </c>
      <c r="BA19" s="2">
        <f>IF(VLOOKUP($O19,GW!$C:$AZ,'Pomocný'!BA$1,FALSE)=BA$27,1,0)</f>
        <v>0</v>
      </c>
      <c r="BB19" s="2">
        <f>IF(VLOOKUP($O19,GW!$C:$AZ,'Pomocný'!BB$1,FALSE)=BB$27,1,0)</f>
        <v>0</v>
      </c>
    </row>
    <row r="20" ht="14.25" customHeight="1">
      <c r="B20" s="2" t="s">
        <v>64</v>
      </c>
      <c r="C20" s="2">
        <f t="shared" ref="C20:D20" si="11">RANK(C7,C$3:C$13)</f>
        <v>4</v>
      </c>
      <c r="D20" s="2">
        <f t="shared" si="11"/>
        <v>5</v>
      </c>
      <c r="E20" s="2">
        <f t="shared" ref="E20:L20" si="12">IF(E7=0,"",RANK(E7,E$3:E$13))</f>
        <v>2</v>
      </c>
      <c r="F20" s="2">
        <f t="shared" si="12"/>
        <v>2</v>
      </c>
      <c r="G20" s="2">
        <f t="shared" si="12"/>
        <v>1</v>
      </c>
      <c r="H20" s="2">
        <f t="shared" si="12"/>
        <v>4</v>
      </c>
      <c r="I20" s="2">
        <f t="shared" si="12"/>
        <v>2</v>
      </c>
      <c r="J20" s="2">
        <f t="shared" si="12"/>
        <v>9</v>
      </c>
      <c r="K20" s="2">
        <f t="shared" si="12"/>
        <v>3</v>
      </c>
      <c r="L20" s="2">
        <f t="shared" si="12"/>
        <v>1</v>
      </c>
      <c r="M20" s="2" t="s">
        <v>64</v>
      </c>
      <c r="O20" s="2" t="s">
        <v>64</v>
      </c>
      <c r="P20" s="2">
        <f t="shared" si="6"/>
        <v>1</v>
      </c>
      <c r="Q20" s="2">
        <f>IF(VLOOKUP($O20,GW!$C:$AZ,'Pomocný'!Q$1,FALSE)=Q$27,1,0)</f>
        <v>0</v>
      </c>
      <c r="R20" s="2">
        <f>IF(VLOOKUP($O20,GW!$C:$AZ,'Pomocný'!R$1,FALSE)=R$27,1,0)</f>
        <v>0</v>
      </c>
      <c r="S20" s="2">
        <f>IF(VLOOKUP($O20,GW!$C:$AZ,'Pomocný'!S$1,FALSE)=S$27,1,0)</f>
        <v>0</v>
      </c>
      <c r="T20" s="2">
        <f>IF(VLOOKUP($O20,GW!$C:$AZ,'Pomocný'!T$1,FALSE)=T$27,1,0)</f>
        <v>0</v>
      </c>
      <c r="U20" s="2">
        <f>IF(VLOOKUP($O20,GW!$C:$AZ,'Pomocný'!U$1,FALSE)=U$27,1,0)</f>
        <v>0</v>
      </c>
      <c r="V20" s="2">
        <f>IF(VLOOKUP($O20,GW!$C:$AZ,'Pomocný'!V$1,FALSE)=V$27,1,0)</f>
        <v>0</v>
      </c>
      <c r="W20" s="2">
        <f>IF(VLOOKUP($O20,GW!$C:$AZ,'Pomocný'!W$1,FALSE)=W$27,1,0)</f>
        <v>0</v>
      </c>
      <c r="X20" s="2">
        <f>IF(VLOOKUP($O20,GW!$C:$AZ,'Pomocný'!X$1,FALSE)=X$27,1,0)</f>
        <v>0</v>
      </c>
      <c r="Y20" s="2">
        <f>IF(VLOOKUP($O20,GW!$C:$AZ,'Pomocný'!Y$1,FALSE)=Y$27,1,0)</f>
        <v>0</v>
      </c>
      <c r="Z20" s="2">
        <f>IF(VLOOKUP($O20,GW!$C:$AZ,'Pomocný'!Z$1,FALSE)=Z$27,1,0)</f>
        <v>0</v>
      </c>
      <c r="AA20" s="2">
        <f>IF(VLOOKUP($O20,GW!$C:$AZ,'Pomocný'!AA$1,FALSE)=AA$27,1,0)</f>
        <v>0</v>
      </c>
      <c r="AB20" s="2">
        <f>IF(VLOOKUP($O20,GW!$C:$AZ,'Pomocný'!AB$1,FALSE)=AB$27,1,0)</f>
        <v>0</v>
      </c>
      <c r="AC20" s="2">
        <f>IF(VLOOKUP($O20,GW!$C:$AZ,'Pomocný'!AC$1,FALSE)=AC$27,1,0)</f>
        <v>0</v>
      </c>
      <c r="AD20" s="2">
        <f>IF(VLOOKUP($O20,GW!$C:$AZ,'Pomocný'!AD$1,FALSE)=AD$27,1,0)</f>
        <v>0</v>
      </c>
      <c r="AE20" s="2">
        <f>IF(VLOOKUP($O20,GW!$C:$AZ,'Pomocný'!AE$1,FALSE)=AE$27,1,0)</f>
        <v>0</v>
      </c>
      <c r="AF20" s="2">
        <f>IF(VLOOKUP($O20,GW!$C:$AZ,'Pomocný'!AF$1,FALSE)=AF$27,1,0)</f>
        <v>0</v>
      </c>
      <c r="AG20" s="2">
        <f>IF(VLOOKUP($O20,GW!$C:$AZ,'Pomocný'!AG$1,FALSE)=AG$27,1,0)</f>
        <v>0</v>
      </c>
      <c r="AH20" s="2">
        <f>IF(VLOOKUP($O20,GW!$C:$AZ,'Pomocný'!AH$1,FALSE)=AH$27,1,0)</f>
        <v>0</v>
      </c>
      <c r="AI20" s="2">
        <f>IF(VLOOKUP($O20,GW!$C:$AZ,'Pomocný'!AI$1,FALSE)=AI$27,1,0)</f>
        <v>0</v>
      </c>
      <c r="AJ20" s="2">
        <f>IF(VLOOKUP($O20,GW!$C:$AZ,'Pomocný'!AJ$1,FALSE)=AJ$27,1,0)</f>
        <v>0</v>
      </c>
      <c r="AK20" s="2">
        <f>IF(VLOOKUP($O20,GW!$C:$AZ,'Pomocný'!AK$1,FALSE)=AK$27,1,0)</f>
        <v>0</v>
      </c>
      <c r="AL20" s="2">
        <f>IF(VLOOKUP($O20,GW!$C:$AZ,'Pomocný'!AL$1,FALSE)=AL$27,1,0)</f>
        <v>0</v>
      </c>
      <c r="AM20" s="2">
        <f>IF(VLOOKUP($O20,GW!$C:$AZ,'Pomocný'!AM$1,FALSE)=AM$27,1,0)</f>
        <v>0</v>
      </c>
      <c r="AN20" s="2">
        <f>IF(VLOOKUP($O20,GW!$C:$AZ,'Pomocný'!AN$1,FALSE)=AN$27,1,0)</f>
        <v>0</v>
      </c>
      <c r="AO20" s="2">
        <f>IF(VLOOKUP($O20,GW!$C:$AZ,'Pomocný'!AO$1,FALSE)=AO$27,1,0)</f>
        <v>0</v>
      </c>
      <c r="AP20" s="2">
        <f>IF(VLOOKUP($O20,GW!$C:$AZ,'Pomocný'!AP$1,FALSE)=AP$27,1,0)</f>
        <v>0</v>
      </c>
      <c r="AQ20" s="2">
        <f>IF(VLOOKUP($O20,GW!$C:$AZ,'Pomocný'!AQ$1,FALSE)=AQ$27,1,0)</f>
        <v>0</v>
      </c>
      <c r="AR20" s="2">
        <f>IF(VLOOKUP($O20,GW!$C:$AZ,'Pomocný'!AR$1,FALSE)=AR$27,1,0)</f>
        <v>0</v>
      </c>
      <c r="AS20" s="2">
        <f>IF(VLOOKUP($O20,GW!$C:$AZ,'Pomocný'!AS$1,FALSE)=AS$27,1,0)</f>
        <v>1</v>
      </c>
      <c r="AT20" s="2">
        <f>IF(VLOOKUP($O20,GW!$C:$AZ,'Pomocný'!AT$1,FALSE)=AT$27,1,0)</f>
        <v>0</v>
      </c>
      <c r="AU20" s="2">
        <f>IF(VLOOKUP($O20,GW!$C:$AZ,'Pomocný'!AU$1,FALSE)=AU$27,1,0)</f>
        <v>0</v>
      </c>
      <c r="AV20" s="2">
        <f>IF(VLOOKUP($O20,GW!$C:$AZ,'Pomocný'!AV$1,FALSE)=AV$27,1,0)</f>
        <v>0</v>
      </c>
      <c r="AW20" s="2">
        <f>IF(VLOOKUP($O20,GW!$C:$AZ,'Pomocný'!AW$1,FALSE)=AW$27,1,0)</f>
        <v>0</v>
      </c>
      <c r="AX20" s="2">
        <f>IF(VLOOKUP($O20,GW!$C:$AZ,'Pomocný'!AX$1,FALSE)=AX$27,1,0)</f>
        <v>0</v>
      </c>
      <c r="AY20" s="2">
        <f>IF(VLOOKUP($O20,GW!$C:$AZ,'Pomocný'!AY$1,FALSE)=AY$27,1,0)</f>
        <v>0</v>
      </c>
      <c r="AZ20" s="2">
        <f>IF(VLOOKUP($O20,GW!$C:$AZ,'Pomocný'!AZ$1,FALSE)=AZ$27,1,0)</f>
        <v>0</v>
      </c>
      <c r="BA20" s="2">
        <f>IF(VLOOKUP($O20,GW!$C:$AZ,'Pomocný'!BA$1,FALSE)=BA$27,1,0)</f>
        <v>0</v>
      </c>
      <c r="BB20" s="2">
        <f>IF(VLOOKUP($O20,GW!$C:$AZ,'Pomocný'!BB$1,FALSE)=BB$27,1,0)</f>
        <v>0</v>
      </c>
    </row>
    <row r="21" ht="14.25" customHeight="1">
      <c r="B21" s="2" t="s">
        <v>69</v>
      </c>
      <c r="C21" s="2">
        <f t="shared" ref="C21:D21" si="13">RANK(C8,C$3:C$13)</f>
        <v>5</v>
      </c>
      <c r="D21" s="2">
        <f t="shared" si="13"/>
        <v>8</v>
      </c>
      <c r="E21" s="2">
        <f t="shared" ref="E21:L21" si="14">IF(E8=0,"",RANK(E8,E$3:E$13))</f>
        <v>7</v>
      </c>
      <c r="F21" s="2">
        <f t="shared" si="14"/>
        <v>9</v>
      </c>
      <c r="G21" s="2">
        <f t="shared" si="14"/>
        <v>2</v>
      </c>
      <c r="H21" s="2">
        <f t="shared" si="14"/>
        <v>5</v>
      </c>
      <c r="I21" s="2">
        <f t="shared" si="14"/>
        <v>4</v>
      </c>
      <c r="J21" s="2">
        <f t="shared" si="14"/>
        <v>4</v>
      </c>
      <c r="K21" s="2">
        <f t="shared" si="14"/>
        <v>1</v>
      </c>
      <c r="L21" s="2">
        <f t="shared" si="14"/>
        <v>3</v>
      </c>
      <c r="M21" s="2" t="s">
        <v>69</v>
      </c>
      <c r="O21" s="2" t="s">
        <v>69</v>
      </c>
      <c r="P21" s="2">
        <f t="shared" si="6"/>
        <v>3</v>
      </c>
      <c r="Q21" s="2">
        <f>IF(VLOOKUP($O21,GW!$C:$AZ,'Pomocný'!Q$1,FALSE)=Q$27,1,0)</f>
        <v>0</v>
      </c>
      <c r="R21" s="2">
        <f>IF(VLOOKUP($O21,GW!$C:$AZ,'Pomocný'!R$1,FALSE)=R$27,1,0)</f>
        <v>0</v>
      </c>
      <c r="S21" s="2">
        <f>IF(VLOOKUP($O21,GW!$C:$AZ,'Pomocný'!S$1,FALSE)=S$27,1,0)</f>
        <v>0</v>
      </c>
      <c r="T21" s="2">
        <f>IF(VLOOKUP($O21,GW!$C:$AZ,'Pomocný'!T$1,FALSE)=T$27,1,0)</f>
        <v>0</v>
      </c>
      <c r="U21" s="2">
        <f>IF(VLOOKUP($O21,GW!$C:$AZ,'Pomocný'!U$1,FALSE)=U$27,1,0)</f>
        <v>0</v>
      </c>
      <c r="V21" s="2">
        <f>IF(VLOOKUP($O21,GW!$C:$AZ,'Pomocný'!V$1,FALSE)=V$27,1,0)</f>
        <v>1</v>
      </c>
      <c r="W21" s="2">
        <f>IF(VLOOKUP($O21,GW!$C:$AZ,'Pomocný'!W$1,FALSE)=W$27,1,0)</f>
        <v>0</v>
      </c>
      <c r="X21" s="2">
        <f>IF(VLOOKUP($O21,GW!$C:$AZ,'Pomocný'!X$1,FALSE)=X$27,1,0)</f>
        <v>0</v>
      </c>
      <c r="Y21" s="2">
        <f>IF(VLOOKUP($O21,GW!$C:$AZ,'Pomocný'!Y$1,FALSE)=Y$27,1,0)</f>
        <v>0</v>
      </c>
      <c r="Z21" s="2">
        <f>IF(VLOOKUP($O21,GW!$C:$AZ,'Pomocný'!Z$1,FALSE)=Z$27,1,0)</f>
        <v>0</v>
      </c>
      <c r="AA21" s="2">
        <f>IF(VLOOKUP($O21,GW!$C:$AZ,'Pomocný'!AA$1,FALSE)=AA$27,1,0)</f>
        <v>0</v>
      </c>
      <c r="AB21" s="2">
        <f>IF(VLOOKUP($O21,GW!$C:$AZ,'Pomocný'!AB$1,FALSE)=AB$27,1,0)</f>
        <v>0</v>
      </c>
      <c r="AC21" s="2">
        <f>IF(VLOOKUP($O21,GW!$C:$AZ,'Pomocný'!AC$1,FALSE)=AC$27,1,0)</f>
        <v>1</v>
      </c>
      <c r="AD21" s="2">
        <f>IF(VLOOKUP($O21,GW!$C:$AZ,'Pomocný'!AD$1,FALSE)=AD$27,1,0)</f>
        <v>0</v>
      </c>
      <c r="AE21" s="2">
        <f>IF(VLOOKUP($O21,GW!$C:$AZ,'Pomocný'!AE$1,FALSE)=AE$27,1,0)</f>
        <v>0</v>
      </c>
      <c r="AF21" s="2">
        <f>IF(VLOOKUP($O21,GW!$C:$AZ,'Pomocný'!AF$1,FALSE)=AF$27,1,0)</f>
        <v>0</v>
      </c>
      <c r="AG21" s="2">
        <f>IF(VLOOKUP($O21,GW!$C:$AZ,'Pomocný'!AG$1,FALSE)=AG$27,1,0)</f>
        <v>0</v>
      </c>
      <c r="AH21" s="2">
        <f>IF(VLOOKUP($O21,GW!$C:$AZ,'Pomocný'!AH$1,FALSE)=AH$27,1,0)</f>
        <v>0</v>
      </c>
      <c r="AI21" s="2">
        <f>IF(VLOOKUP($O21,GW!$C:$AZ,'Pomocný'!AI$1,FALSE)=AI$27,1,0)</f>
        <v>0</v>
      </c>
      <c r="AJ21" s="2">
        <f>IF(VLOOKUP($O21,GW!$C:$AZ,'Pomocný'!AJ$1,FALSE)=AJ$27,1,0)</f>
        <v>0</v>
      </c>
      <c r="AK21" s="2">
        <f>IF(VLOOKUP($O21,GW!$C:$AZ,'Pomocný'!AK$1,FALSE)=AK$27,1,0)</f>
        <v>0</v>
      </c>
      <c r="AL21" s="2">
        <f>IF(VLOOKUP($O21,GW!$C:$AZ,'Pomocný'!AL$1,FALSE)=AL$27,1,0)</f>
        <v>0</v>
      </c>
      <c r="AM21" s="2">
        <f>IF(VLOOKUP($O21,GW!$C:$AZ,'Pomocný'!AM$1,FALSE)=AM$27,1,0)</f>
        <v>0</v>
      </c>
      <c r="AN21" s="2">
        <f>IF(VLOOKUP($O21,GW!$C:$AZ,'Pomocný'!AN$1,FALSE)=AN$27,1,0)</f>
        <v>0</v>
      </c>
      <c r="AO21" s="2">
        <f>IF(VLOOKUP($O21,GW!$C:$AZ,'Pomocný'!AO$1,FALSE)=AO$27,1,0)</f>
        <v>0</v>
      </c>
      <c r="AP21" s="2">
        <f>IF(VLOOKUP($O21,GW!$C:$AZ,'Pomocný'!AP$1,FALSE)=AP$27,1,0)</f>
        <v>0</v>
      </c>
      <c r="AQ21" s="2">
        <f>IF(VLOOKUP($O21,GW!$C:$AZ,'Pomocný'!AQ$1,FALSE)=AQ$27,1,0)</f>
        <v>0</v>
      </c>
      <c r="AR21" s="2">
        <f>IF(VLOOKUP($O21,GW!$C:$AZ,'Pomocný'!AR$1,FALSE)=AR$27,1,0)</f>
        <v>0</v>
      </c>
      <c r="AS21" s="2">
        <f>IF(VLOOKUP($O21,GW!$C:$AZ,'Pomocný'!AS$1,FALSE)=AS$27,1,0)</f>
        <v>0</v>
      </c>
      <c r="AT21" s="2">
        <f>IF(VLOOKUP($O21,GW!$C:$AZ,'Pomocný'!AT$1,FALSE)=AT$27,1,0)</f>
        <v>0</v>
      </c>
      <c r="AU21" s="2">
        <f>IF(VLOOKUP($O21,GW!$C:$AZ,'Pomocný'!AU$1,FALSE)=AU$27,1,0)</f>
        <v>0</v>
      </c>
      <c r="AV21" s="2">
        <f>IF(VLOOKUP($O21,GW!$C:$AZ,'Pomocný'!AV$1,FALSE)=AV$27,1,0)</f>
        <v>0</v>
      </c>
      <c r="AW21" s="2">
        <f>IF(VLOOKUP($O21,GW!$C:$AZ,'Pomocný'!AW$1,FALSE)=AW$27,1,0)</f>
        <v>0</v>
      </c>
      <c r="AX21" s="2">
        <f>IF(VLOOKUP($O21,GW!$C:$AZ,'Pomocný'!AX$1,FALSE)=AX$27,1,0)</f>
        <v>0</v>
      </c>
      <c r="AY21" s="2">
        <f>IF(VLOOKUP($O21,GW!$C:$AZ,'Pomocný'!AY$1,FALSE)=AY$27,1,0)</f>
        <v>0</v>
      </c>
      <c r="AZ21" s="2">
        <f>IF(VLOOKUP($O21,GW!$C:$AZ,'Pomocný'!AZ$1,FALSE)=AZ$27,1,0)</f>
        <v>0</v>
      </c>
      <c r="BA21" s="2">
        <f>IF(VLOOKUP($O21,GW!$C:$AZ,'Pomocný'!BA$1,FALSE)=BA$27,1,0)</f>
        <v>1</v>
      </c>
      <c r="BB21" s="2">
        <f>IF(VLOOKUP($O21,GW!$C:$AZ,'Pomocný'!BB$1,FALSE)=BB$27,1,0)</f>
        <v>0</v>
      </c>
    </row>
    <row r="22" ht="14.25" customHeight="1">
      <c r="B22" s="2" t="s">
        <v>71</v>
      </c>
      <c r="C22" s="2">
        <f t="shared" ref="C22:D22" si="15">RANK(C9,C$3:C$13)</f>
        <v>9</v>
      </c>
      <c r="D22" s="2">
        <f t="shared" si="15"/>
        <v>7</v>
      </c>
      <c r="E22" s="2">
        <f t="shared" ref="E22:L22" si="16">IF(E9=0,"",RANK(E9,E$3:E$13))</f>
        <v>4</v>
      </c>
      <c r="F22" s="2">
        <f t="shared" si="16"/>
        <v>10</v>
      </c>
      <c r="G22" s="2">
        <f t="shared" si="16"/>
        <v>3</v>
      </c>
      <c r="H22" s="2">
        <f t="shared" si="16"/>
        <v>2</v>
      </c>
      <c r="I22" s="2">
        <f t="shared" si="16"/>
        <v>5</v>
      </c>
      <c r="J22" s="2">
        <f t="shared" si="16"/>
        <v>5</v>
      </c>
      <c r="K22" s="2">
        <f t="shared" si="16"/>
        <v>7</v>
      </c>
      <c r="L22" s="2">
        <f t="shared" si="16"/>
        <v>5</v>
      </c>
      <c r="M22" s="2" t="s">
        <v>71</v>
      </c>
      <c r="O22" s="2" t="s">
        <v>71</v>
      </c>
      <c r="P22" s="2">
        <f t="shared" si="6"/>
        <v>1</v>
      </c>
      <c r="Q22" s="2">
        <f>IF(VLOOKUP($O22,GW!$C:$AZ,'Pomocný'!Q$1,FALSE)=Q$27,1,0)</f>
        <v>0</v>
      </c>
      <c r="R22" s="2">
        <f>IF(VLOOKUP($O22,GW!$C:$AZ,'Pomocný'!R$1,FALSE)=R$27,1,0)</f>
        <v>1</v>
      </c>
      <c r="S22" s="2">
        <f>IF(VLOOKUP($O22,GW!$C:$AZ,'Pomocný'!S$1,FALSE)=S$27,1,0)</f>
        <v>0</v>
      </c>
      <c r="T22" s="2">
        <f>IF(VLOOKUP($O22,GW!$C:$AZ,'Pomocný'!T$1,FALSE)=T$27,1,0)</f>
        <v>0</v>
      </c>
      <c r="U22" s="2">
        <f>IF(VLOOKUP($O22,GW!$C:$AZ,'Pomocný'!U$1,FALSE)=U$27,1,0)</f>
        <v>0</v>
      </c>
      <c r="V22" s="2">
        <f>IF(VLOOKUP($O22,GW!$C:$AZ,'Pomocný'!V$1,FALSE)=V$27,1,0)</f>
        <v>0</v>
      </c>
      <c r="W22" s="2">
        <f>IF(VLOOKUP($O22,GW!$C:$AZ,'Pomocný'!W$1,FALSE)=W$27,1,0)</f>
        <v>0</v>
      </c>
      <c r="X22" s="2">
        <f>IF(VLOOKUP($O22,GW!$C:$AZ,'Pomocný'!X$1,FALSE)=X$27,1,0)</f>
        <v>0</v>
      </c>
      <c r="Y22" s="2">
        <f>IF(VLOOKUP($O22,GW!$C:$AZ,'Pomocný'!Y$1,FALSE)=Y$27,1,0)</f>
        <v>0</v>
      </c>
      <c r="Z22" s="2">
        <f>IF(VLOOKUP($O22,GW!$C:$AZ,'Pomocný'!Z$1,FALSE)=Z$27,1,0)</f>
        <v>0</v>
      </c>
      <c r="AA22" s="2">
        <f>IF(VLOOKUP($O22,GW!$C:$AZ,'Pomocný'!AA$1,FALSE)=AA$27,1,0)</f>
        <v>0</v>
      </c>
      <c r="AB22" s="2">
        <f>IF(VLOOKUP($O22,GW!$C:$AZ,'Pomocný'!AB$1,FALSE)=AB$27,1,0)</f>
        <v>0</v>
      </c>
      <c r="AC22" s="2">
        <f>IF(VLOOKUP($O22,GW!$C:$AZ,'Pomocný'!AC$1,FALSE)=AC$27,1,0)</f>
        <v>0</v>
      </c>
      <c r="AD22" s="2">
        <f>IF(VLOOKUP($O22,GW!$C:$AZ,'Pomocný'!AD$1,FALSE)=AD$27,1,0)</f>
        <v>0</v>
      </c>
      <c r="AE22" s="2">
        <f>IF(VLOOKUP($O22,GW!$C:$AZ,'Pomocný'!AE$1,FALSE)=AE$27,1,0)</f>
        <v>0</v>
      </c>
      <c r="AF22" s="2">
        <f>IF(VLOOKUP($O22,GW!$C:$AZ,'Pomocný'!AF$1,FALSE)=AF$27,1,0)</f>
        <v>0</v>
      </c>
      <c r="AG22" s="2">
        <f>IF(VLOOKUP($O22,GW!$C:$AZ,'Pomocný'!AG$1,FALSE)=AG$27,1,0)</f>
        <v>0</v>
      </c>
      <c r="AH22" s="2">
        <f>IF(VLOOKUP($O22,GW!$C:$AZ,'Pomocný'!AH$1,FALSE)=AH$27,1,0)</f>
        <v>0</v>
      </c>
      <c r="AI22" s="2">
        <f>IF(VLOOKUP($O22,GW!$C:$AZ,'Pomocný'!AI$1,FALSE)=AI$27,1,0)</f>
        <v>0</v>
      </c>
      <c r="AJ22" s="2">
        <f>IF(VLOOKUP($O22,GW!$C:$AZ,'Pomocný'!AJ$1,FALSE)=AJ$27,1,0)</f>
        <v>0</v>
      </c>
      <c r="AK22" s="2">
        <f>IF(VLOOKUP($O22,GW!$C:$AZ,'Pomocný'!AK$1,FALSE)=AK$27,1,0)</f>
        <v>0</v>
      </c>
      <c r="AL22" s="2">
        <f>IF(VLOOKUP($O22,GW!$C:$AZ,'Pomocný'!AL$1,FALSE)=AL$27,1,0)</f>
        <v>0</v>
      </c>
      <c r="AM22" s="2">
        <f>IF(VLOOKUP($O22,GW!$C:$AZ,'Pomocný'!AM$1,FALSE)=AM$27,1,0)</f>
        <v>0</v>
      </c>
      <c r="AN22" s="2">
        <f>IF(VLOOKUP($O22,GW!$C:$AZ,'Pomocný'!AN$1,FALSE)=AN$27,1,0)</f>
        <v>0</v>
      </c>
      <c r="AO22" s="2">
        <f>IF(VLOOKUP($O22,GW!$C:$AZ,'Pomocný'!AO$1,FALSE)=AO$27,1,0)</f>
        <v>0</v>
      </c>
      <c r="AP22" s="2">
        <f>IF(VLOOKUP($O22,GW!$C:$AZ,'Pomocný'!AP$1,FALSE)=AP$27,1,0)</f>
        <v>0</v>
      </c>
      <c r="AQ22" s="2">
        <f>IF(VLOOKUP($O22,GW!$C:$AZ,'Pomocný'!AQ$1,FALSE)=AQ$27,1,0)</f>
        <v>0</v>
      </c>
      <c r="AR22" s="2">
        <f>IF(VLOOKUP($O22,GW!$C:$AZ,'Pomocný'!AR$1,FALSE)=AR$27,1,0)</f>
        <v>0</v>
      </c>
      <c r="AS22" s="2">
        <f>IF(VLOOKUP($O22,GW!$C:$AZ,'Pomocný'!AS$1,FALSE)=AS$27,1,0)</f>
        <v>0</v>
      </c>
      <c r="AT22" s="2">
        <f>IF(VLOOKUP($O22,GW!$C:$AZ,'Pomocný'!AT$1,FALSE)=AT$27,1,0)</f>
        <v>0</v>
      </c>
      <c r="AU22" s="2">
        <f>IF(VLOOKUP($O22,GW!$C:$AZ,'Pomocný'!AU$1,FALSE)=AU$27,1,0)</f>
        <v>0</v>
      </c>
      <c r="AV22" s="2">
        <f>IF(VLOOKUP($O22,GW!$C:$AZ,'Pomocný'!AV$1,FALSE)=AV$27,1,0)</f>
        <v>0</v>
      </c>
      <c r="AW22" s="2">
        <f>IF(VLOOKUP($O22,GW!$C:$AZ,'Pomocný'!AW$1,FALSE)=AW$27,1,0)</f>
        <v>0</v>
      </c>
      <c r="AX22" s="2">
        <f>IF(VLOOKUP($O22,GW!$C:$AZ,'Pomocný'!AX$1,FALSE)=AX$27,1,0)</f>
        <v>0</v>
      </c>
      <c r="AY22" s="2">
        <f>IF(VLOOKUP($O22,GW!$C:$AZ,'Pomocný'!AY$1,FALSE)=AY$27,1,0)</f>
        <v>0</v>
      </c>
      <c r="AZ22" s="2">
        <f>IF(VLOOKUP($O22,GW!$C:$AZ,'Pomocný'!AZ$1,FALSE)=AZ$27,1,0)</f>
        <v>0</v>
      </c>
      <c r="BA22" s="2">
        <f>IF(VLOOKUP($O22,GW!$C:$AZ,'Pomocný'!BA$1,FALSE)=BA$27,1,0)</f>
        <v>0</v>
      </c>
      <c r="BB22" s="2">
        <f>IF(VLOOKUP($O22,GW!$C:$AZ,'Pomocný'!BB$1,FALSE)=BB$27,1,0)</f>
        <v>0</v>
      </c>
    </row>
    <row r="23" ht="14.25" customHeight="1">
      <c r="B23" s="2" t="s">
        <v>78</v>
      </c>
      <c r="C23" s="2">
        <f t="shared" ref="C23:D23" si="17">RANK(C10,C$3:C$13)</f>
        <v>8</v>
      </c>
      <c r="D23" s="2">
        <f t="shared" si="17"/>
        <v>1</v>
      </c>
      <c r="E23" s="2">
        <f t="shared" ref="E23:L23" si="18">IF(E10=0,"",RANK(E10,E$3:E$13))</f>
        <v>3</v>
      </c>
      <c r="F23" s="2">
        <f t="shared" si="18"/>
        <v>3</v>
      </c>
      <c r="G23" s="2">
        <f t="shared" si="18"/>
        <v>8</v>
      </c>
      <c r="H23" s="2">
        <f t="shared" si="18"/>
        <v>7</v>
      </c>
      <c r="I23" s="2">
        <f t="shared" si="18"/>
        <v>10</v>
      </c>
      <c r="J23" s="2">
        <f t="shared" si="18"/>
        <v>10</v>
      </c>
      <c r="K23" s="2">
        <f t="shared" si="18"/>
        <v>10</v>
      </c>
      <c r="L23" s="2">
        <f t="shared" si="18"/>
        <v>10</v>
      </c>
      <c r="M23" s="2" t="s">
        <v>78</v>
      </c>
      <c r="O23" s="2" t="s">
        <v>78</v>
      </c>
      <c r="P23" s="2">
        <f t="shared" si="6"/>
        <v>10</v>
      </c>
      <c r="Q23" s="2">
        <f>IF(VLOOKUP($O23,GW!$C:$AZ,'Pomocný'!Q$1,FALSE)=Q$27,1,0)</f>
        <v>0</v>
      </c>
      <c r="R23" s="2">
        <f>IF(VLOOKUP($O23,GW!$C:$AZ,'Pomocný'!R$1,FALSE)=R$27,1,0)</f>
        <v>0</v>
      </c>
      <c r="S23" s="2">
        <f>IF(VLOOKUP($O23,GW!$C:$AZ,'Pomocný'!S$1,FALSE)=S$27,1,0)</f>
        <v>0</v>
      </c>
      <c r="T23" s="2">
        <f>IF(VLOOKUP($O23,GW!$C:$AZ,'Pomocný'!T$1,FALSE)=T$27,1,0)</f>
        <v>0</v>
      </c>
      <c r="U23" s="2">
        <f>IF(VLOOKUP($O23,GW!$C:$AZ,'Pomocný'!U$1,FALSE)=U$27,1,0)</f>
        <v>0</v>
      </c>
      <c r="V23" s="2">
        <f>IF(VLOOKUP($O23,GW!$C:$AZ,'Pomocný'!V$1,FALSE)=V$27,1,0)</f>
        <v>0</v>
      </c>
      <c r="W23" s="2">
        <f>IF(VLOOKUP($O23,GW!$C:$AZ,'Pomocný'!W$1,FALSE)=W$27,1,0)</f>
        <v>0</v>
      </c>
      <c r="X23" s="2">
        <f>IF(VLOOKUP($O23,GW!$C:$AZ,'Pomocný'!X$1,FALSE)=X$27,1,0)</f>
        <v>0</v>
      </c>
      <c r="Y23" s="2">
        <f>IF(VLOOKUP($O23,GW!$C:$AZ,'Pomocný'!Y$1,FALSE)=Y$27,1,0)</f>
        <v>0</v>
      </c>
      <c r="Z23" s="2">
        <f>IF(VLOOKUP($O23,GW!$C:$AZ,'Pomocný'!Z$1,FALSE)=Z$27,1,0)</f>
        <v>0</v>
      </c>
      <c r="AA23" s="2">
        <f>IF(VLOOKUP($O23,GW!$C:$AZ,'Pomocný'!AA$1,FALSE)=AA$27,1,0)</f>
        <v>0</v>
      </c>
      <c r="AB23" s="2">
        <f>IF(VLOOKUP($O23,GW!$C:$AZ,'Pomocný'!AB$1,FALSE)=AB$27,1,0)</f>
        <v>0</v>
      </c>
      <c r="AC23" s="2">
        <f>IF(VLOOKUP($O23,GW!$C:$AZ,'Pomocný'!AC$1,FALSE)=AC$27,1,0)</f>
        <v>0</v>
      </c>
      <c r="AD23" s="2">
        <f>IF(VLOOKUP($O23,GW!$C:$AZ,'Pomocný'!AD$1,FALSE)=AD$27,1,0)</f>
        <v>0</v>
      </c>
      <c r="AE23" s="2">
        <f>IF(VLOOKUP($O23,GW!$C:$AZ,'Pomocný'!AE$1,FALSE)=AE$27,1,0)</f>
        <v>0</v>
      </c>
      <c r="AF23" s="2">
        <f>IF(VLOOKUP($O23,GW!$C:$AZ,'Pomocný'!AF$1,FALSE)=AF$27,1,0)</f>
        <v>0</v>
      </c>
      <c r="AG23" s="2">
        <f>IF(VLOOKUP($O23,GW!$C:$AZ,'Pomocný'!AG$1,FALSE)=AG$27,1,0)</f>
        <v>0</v>
      </c>
      <c r="AH23" s="2">
        <f>IF(VLOOKUP($O23,GW!$C:$AZ,'Pomocný'!AH$1,FALSE)=AH$27,1,0)</f>
        <v>0</v>
      </c>
      <c r="AI23" s="2">
        <f>IF(VLOOKUP($O23,GW!$C:$AZ,'Pomocný'!AI$1,FALSE)=AI$27,1,0)</f>
        <v>1</v>
      </c>
      <c r="AJ23" s="2">
        <f>IF(VLOOKUP($O23,GW!$C:$AZ,'Pomocný'!AJ$1,FALSE)=AJ$27,1,0)</f>
        <v>0</v>
      </c>
      <c r="AK23" s="2">
        <f>IF(VLOOKUP($O23,GW!$C:$AZ,'Pomocný'!AK$1,FALSE)=AK$27,1,0)</f>
        <v>0</v>
      </c>
      <c r="AL23" s="2">
        <f>IF(VLOOKUP($O23,GW!$C:$AZ,'Pomocný'!AL$1,FALSE)=AL$27,1,0)</f>
        <v>0</v>
      </c>
      <c r="AM23" s="2">
        <f>IF(VLOOKUP($O23,GW!$C:$AZ,'Pomocný'!AM$1,FALSE)=AM$27,1,0)</f>
        <v>0</v>
      </c>
      <c r="AN23" s="2">
        <f>IF(VLOOKUP($O23,GW!$C:$AZ,'Pomocný'!AN$1,FALSE)=AN$27,1,0)</f>
        <v>1</v>
      </c>
      <c r="AO23" s="2">
        <f>IF(VLOOKUP($O23,GW!$C:$AZ,'Pomocný'!AO$1,FALSE)=AO$27,1,0)</f>
        <v>1</v>
      </c>
      <c r="AP23" s="2">
        <f>IF(VLOOKUP($O23,GW!$C:$AZ,'Pomocný'!AP$1,FALSE)=AP$27,1,0)</f>
        <v>1</v>
      </c>
      <c r="AQ23" s="2">
        <f>IF(VLOOKUP($O23,GW!$C:$AZ,'Pomocný'!AQ$1,FALSE)=AQ$27,1,0)</f>
        <v>0</v>
      </c>
      <c r="AR23" s="2">
        <f>IF(VLOOKUP($O23,GW!$C:$AZ,'Pomocný'!AR$1,FALSE)=AR$27,1,0)</f>
        <v>1</v>
      </c>
      <c r="AS23" s="2">
        <f>IF(VLOOKUP($O23,GW!$C:$AZ,'Pomocný'!AS$1,FALSE)=AS$27,1,0)</f>
        <v>0</v>
      </c>
      <c r="AT23" s="2">
        <f>IF(VLOOKUP($O23,GW!$C:$AZ,'Pomocný'!AT$1,FALSE)=AT$27,1,0)</f>
        <v>1</v>
      </c>
      <c r="AU23" s="2">
        <f>IF(VLOOKUP($O23,GW!$C:$AZ,'Pomocný'!AU$1,FALSE)=AU$27,1,0)</f>
        <v>1</v>
      </c>
      <c r="AV23" s="2">
        <f>IF(VLOOKUP($O23,GW!$C:$AZ,'Pomocný'!AV$1,FALSE)=AV$27,1,0)</f>
        <v>1</v>
      </c>
      <c r="AW23" s="2">
        <f>IF(VLOOKUP($O23,GW!$C:$AZ,'Pomocný'!AW$1,FALSE)=AW$27,1,0)</f>
        <v>0</v>
      </c>
      <c r="AX23" s="2">
        <f>IF(VLOOKUP($O23,GW!$C:$AZ,'Pomocný'!AX$1,FALSE)=AX$27,1,0)</f>
        <v>1</v>
      </c>
      <c r="AY23" s="2">
        <f>IF(VLOOKUP($O23,GW!$C:$AZ,'Pomocný'!AY$1,FALSE)=AY$27,1,0)</f>
        <v>1</v>
      </c>
      <c r="AZ23" s="2">
        <f>IF(VLOOKUP($O23,GW!$C:$AZ,'Pomocný'!AZ$1,FALSE)=AZ$27,1,0)</f>
        <v>0</v>
      </c>
      <c r="BA23" s="2">
        <f>IF(VLOOKUP($O23,GW!$C:$AZ,'Pomocný'!BA$1,FALSE)=BA$27,1,0)</f>
        <v>0</v>
      </c>
      <c r="BB23" s="2">
        <f>IF(VLOOKUP($O23,GW!$C:$AZ,'Pomocný'!BB$1,FALSE)=BB$27,1,0)</f>
        <v>0</v>
      </c>
    </row>
    <row r="24" ht="14.25" customHeight="1">
      <c r="B24" s="2" t="s">
        <v>74</v>
      </c>
      <c r="C24" s="2">
        <f t="shared" ref="C24:D24" si="19">RANK(C11,C$3:C$13)</f>
        <v>6</v>
      </c>
      <c r="D24" s="2">
        <f t="shared" si="19"/>
        <v>6</v>
      </c>
      <c r="E24" s="2">
        <f t="shared" ref="E24:L24" si="20">IF(E11=0,"",RANK(E11,E$3:E$13))</f>
        <v>8</v>
      </c>
      <c r="F24" s="2">
        <f t="shared" si="20"/>
        <v>4</v>
      </c>
      <c r="G24" s="2">
        <f t="shared" si="20"/>
        <v>4</v>
      </c>
      <c r="H24" s="2">
        <f t="shared" si="20"/>
        <v>5</v>
      </c>
      <c r="I24" s="2">
        <f t="shared" si="20"/>
        <v>6</v>
      </c>
      <c r="J24" s="2">
        <f t="shared" si="20"/>
        <v>7</v>
      </c>
      <c r="K24" s="2">
        <f t="shared" si="20"/>
        <v>8</v>
      </c>
      <c r="L24" s="2">
        <f t="shared" si="20"/>
        <v>9</v>
      </c>
      <c r="M24" s="2" t="s">
        <v>74</v>
      </c>
      <c r="N24" s="2"/>
      <c r="O24" s="2" t="s">
        <v>74</v>
      </c>
      <c r="P24" s="2">
        <f t="shared" si="6"/>
        <v>2</v>
      </c>
      <c r="Q24" s="2">
        <f>IF(VLOOKUP($O24,GW!$C:$AZ,'Pomocný'!Q$1,FALSE)=Q$27,1,0)</f>
        <v>1</v>
      </c>
      <c r="R24" s="2">
        <f>IF(VLOOKUP($O24,GW!$C:$AZ,'Pomocný'!R$1,FALSE)=R$27,1,0)</f>
        <v>0</v>
      </c>
      <c r="S24" s="2">
        <f>IF(VLOOKUP($O24,GW!$C:$AZ,'Pomocný'!S$1,FALSE)=S$27,1,0)</f>
        <v>0</v>
      </c>
      <c r="T24" s="2">
        <f>IF(VLOOKUP($O24,GW!$C:$AZ,'Pomocný'!T$1,FALSE)=T$27,1,0)</f>
        <v>0</v>
      </c>
      <c r="U24" s="2">
        <f>IF(VLOOKUP($O24,GW!$C:$AZ,'Pomocný'!U$1,FALSE)=U$27,1,0)</f>
        <v>0</v>
      </c>
      <c r="V24" s="2">
        <f>IF(VLOOKUP($O24,GW!$C:$AZ,'Pomocný'!V$1,FALSE)=V$27,1,0)</f>
        <v>0</v>
      </c>
      <c r="W24" s="2">
        <f>IF(VLOOKUP($O24,GW!$C:$AZ,'Pomocný'!W$1,FALSE)=W$27,1,0)</f>
        <v>1</v>
      </c>
      <c r="X24" s="2">
        <f>IF(VLOOKUP($O24,GW!$C:$AZ,'Pomocný'!X$1,FALSE)=X$27,1,0)</f>
        <v>0</v>
      </c>
      <c r="Y24" s="2">
        <f>IF(VLOOKUP($O24,GW!$C:$AZ,'Pomocný'!Y$1,FALSE)=Y$27,1,0)</f>
        <v>0</v>
      </c>
      <c r="Z24" s="2">
        <f>IF(VLOOKUP($O24,GW!$C:$AZ,'Pomocný'!Z$1,FALSE)=Z$27,1,0)</f>
        <v>0</v>
      </c>
      <c r="AA24" s="2">
        <f>IF(VLOOKUP($O24,GW!$C:$AZ,'Pomocný'!AA$1,FALSE)=AA$27,1,0)</f>
        <v>0</v>
      </c>
      <c r="AB24" s="2">
        <f>IF(VLOOKUP($O24,GW!$C:$AZ,'Pomocný'!AB$1,FALSE)=AB$27,1,0)</f>
        <v>0</v>
      </c>
      <c r="AC24" s="2">
        <f>IF(VLOOKUP($O24,GW!$C:$AZ,'Pomocný'!AC$1,FALSE)=AC$27,1,0)</f>
        <v>0</v>
      </c>
      <c r="AD24" s="2">
        <f>IF(VLOOKUP($O24,GW!$C:$AZ,'Pomocný'!AD$1,FALSE)=AD$27,1,0)</f>
        <v>0</v>
      </c>
      <c r="AE24" s="2">
        <f>IF(VLOOKUP($O24,GW!$C:$AZ,'Pomocný'!AE$1,FALSE)=AE$27,1,0)</f>
        <v>0</v>
      </c>
      <c r="AF24" s="2">
        <f>IF(VLOOKUP($O24,GW!$C:$AZ,'Pomocný'!AF$1,FALSE)=AF$27,1,0)</f>
        <v>0</v>
      </c>
      <c r="AG24" s="2">
        <f>IF(VLOOKUP($O24,GW!$C:$AZ,'Pomocný'!AG$1,FALSE)=AG$27,1,0)</f>
        <v>0</v>
      </c>
      <c r="AH24" s="2">
        <f>IF(VLOOKUP($O24,GW!$C:$AZ,'Pomocný'!AH$1,FALSE)=AH$27,1,0)</f>
        <v>0</v>
      </c>
      <c r="AI24" s="2">
        <f>IF(VLOOKUP($O24,GW!$C:$AZ,'Pomocný'!AI$1,FALSE)=AI$27,1,0)</f>
        <v>0</v>
      </c>
      <c r="AJ24" s="2">
        <f>IF(VLOOKUP($O24,GW!$C:$AZ,'Pomocný'!AJ$1,FALSE)=AJ$27,1,0)</f>
        <v>0</v>
      </c>
      <c r="AK24" s="2">
        <f>IF(VLOOKUP($O24,GW!$C:$AZ,'Pomocný'!AK$1,FALSE)=AK$27,1,0)</f>
        <v>0</v>
      </c>
      <c r="AL24" s="2">
        <f>IF(VLOOKUP($O24,GW!$C:$AZ,'Pomocný'!AL$1,FALSE)=AL$27,1,0)</f>
        <v>0</v>
      </c>
      <c r="AM24" s="2">
        <f>IF(VLOOKUP($O24,GW!$C:$AZ,'Pomocný'!AM$1,FALSE)=AM$27,1,0)</f>
        <v>0</v>
      </c>
      <c r="AN24" s="2">
        <f>IF(VLOOKUP($O24,GW!$C:$AZ,'Pomocný'!AN$1,FALSE)=AN$27,1,0)</f>
        <v>0</v>
      </c>
      <c r="AO24" s="2">
        <f>IF(VLOOKUP($O24,GW!$C:$AZ,'Pomocný'!AO$1,FALSE)=AO$27,1,0)</f>
        <v>0</v>
      </c>
      <c r="AP24" s="2">
        <f>IF(VLOOKUP($O24,GW!$C:$AZ,'Pomocný'!AP$1,FALSE)=AP$27,1,0)</f>
        <v>0</v>
      </c>
      <c r="AQ24" s="2">
        <f>IF(VLOOKUP($O24,GW!$C:$AZ,'Pomocný'!AQ$1,FALSE)=AQ$27,1,0)</f>
        <v>0</v>
      </c>
      <c r="AR24" s="2">
        <f>IF(VLOOKUP($O24,GW!$C:$AZ,'Pomocný'!AR$1,FALSE)=AR$27,1,0)</f>
        <v>0</v>
      </c>
      <c r="AS24" s="2">
        <f>IF(VLOOKUP($O24,GW!$C:$AZ,'Pomocný'!AS$1,FALSE)=AS$27,1,0)</f>
        <v>0</v>
      </c>
      <c r="AT24" s="2">
        <f>IF(VLOOKUP($O24,GW!$C:$AZ,'Pomocný'!AT$1,FALSE)=AT$27,1,0)</f>
        <v>0</v>
      </c>
      <c r="AU24" s="2">
        <f>IF(VLOOKUP($O24,GW!$C:$AZ,'Pomocný'!AU$1,FALSE)=AU$27,1,0)</f>
        <v>0</v>
      </c>
      <c r="AV24" s="2">
        <f>IF(VLOOKUP($O24,GW!$C:$AZ,'Pomocný'!AV$1,FALSE)=AV$27,1,0)</f>
        <v>0</v>
      </c>
      <c r="AW24" s="2">
        <f>IF(VLOOKUP($O24,GW!$C:$AZ,'Pomocný'!AW$1,FALSE)=AW$27,1,0)</f>
        <v>0</v>
      </c>
      <c r="AX24" s="2">
        <f>IF(VLOOKUP($O24,GW!$C:$AZ,'Pomocný'!AX$1,FALSE)=AX$27,1,0)</f>
        <v>0</v>
      </c>
      <c r="AY24" s="2">
        <f>IF(VLOOKUP($O24,GW!$C:$AZ,'Pomocný'!AY$1,FALSE)=AY$27,1,0)</f>
        <v>0</v>
      </c>
      <c r="AZ24" s="2">
        <f>IF(VLOOKUP($O24,GW!$C:$AZ,'Pomocný'!AZ$1,FALSE)=AZ$27,1,0)</f>
        <v>0</v>
      </c>
      <c r="BA24" s="2">
        <f>IF(VLOOKUP($O24,GW!$C:$AZ,'Pomocný'!BA$1,FALSE)=BA$27,1,0)</f>
        <v>0</v>
      </c>
      <c r="BB24" s="2">
        <f>IF(VLOOKUP($O24,GW!$C:$AZ,'Pomocný'!BB$1,FALSE)=BB$27,1,0)</f>
        <v>0</v>
      </c>
    </row>
    <row r="25" ht="14.25" customHeight="1">
      <c r="B25" s="2" t="s">
        <v>77</v>
      </c>
      <c r="C25" s="2">
        <f t="shared" ref="C25:D25" si="21">RANK(C12,C$3:C$13)</f>
        <v>10</v>
      </c>
      <c r="D25" s="2">
        <f t="shared" si="21"/>
        <v>2</v>
      </c>
      <c r="E25" s="2">
        <f t="shared" ref="E25:L25" si="22">IF(E12=0,"",RANK(E12,E$3:E$13))</f>
        <v>5</v>
      </c>
      <c r="F25" s="2">
        <f t="shared" si="22"/>
        <v>7</v>
      </c>
      <c r="G25" s="2">
        <f t="shared" si="22"/>
        <v>10</v>
      </c>
      <c r="H25" s="2">
        <f t="shared" si="22"/>
        <v>8</v>
      </c>
      <c r="I25" s="2">
        <f t="shared" si="22"/>
        <v>2</v>
      </c>
      <c r="J25" s="2">
        <f t="shared" si="22"/>
        <v>2</v>
      </c>
      <c r="K25" s="2">
        <f t="shared" si="22"/>
        <v>6</v>
      </c>
      <c r="L25" s="2">
        <f t="shared" si="22"/>
        <v>7</v>
      </c>
      <c r="M25" s="2" t="s">
        <v>77</v>
      </c>
      <c r="O25" s="2" t="s">
        <v>77</v>
      </c>
      <c r="P25" s="2">
        <f t="shared" si="6"/>
        <v>8</v>
      </c>
      <c r="Q25" s="2">
        <f>IF(VLOOKUP($O25,GW!$C:$AZ,'Pomocný'!Q$1,FALSE)=Q$27,1,0)</f>
        <v>0</v>
      </c>
      <c r="R25" s="2">
        <f>IF(VLOOKUP($O25,GW!$C:$AZ,'Pomocný'!R$1,FALSE)=R$27,1,0)</f>
        <v>0</v>
      </c>
      <c r="S25" s="2">
        <f>IF(VLOOKUP($O25,GW!$C:$AZ,'Pomocný'!S$1,FALSE)=S$27,1,0)</f>
        <v>1</v>
      </c>
      <c r="T25" s="2">
        <f>IF(VLOOKUP($O25,GW!$C:$AZ,'Pomocný'!T$1,FALSE)=T$27,1,0)</f>
        <v>0</v>
      </c>
      <c r="U25" s="2">
        <f>IF(VLOOKUP($O25,GW!$C:$AZ,'Pomocný'!U$1,FALSE)=U$27,1,0)</f>
        <v>0</v>
      </c>
      <c r="V25" s="2">
        <f>IF(VLOOKUP($O25,GW!$C:$AZ,'Pomocný'!V$1,FALSE)=V$27,1,0)</f>
        <v>0</v>
      </c>
      <c r="W25" s="2">
        <f>IF(VLOOKUP($O25,GW!$C:$AZ,'Pomocný'!W$1,FALSE)=W$27,1,0)</f>
        <v>0</v>
      </c>
      <c r="X25" s="2">
        <f>IF(VLOOKUP($O25,GW!$C:$AZ,'Pomocný'!X$1,FALSE)=X$27,1,0)</f>
        <v>0</v>
      </c>
      <c r="Y25" s="2">
        <f>IF(VLOOKUP($O25,GW!$C:$AZ,'Pomocný'!Y$1,FALSE)=Y$27,1,0)</f>
        <v>1</v>
      </c>
      <c r="Z25" s="2">
        <f>IF(VLOOKUP($O25,GW!$C:$AZ,'Pomocný'!Z$1,FALSE)=Z$27,1,0)</f>
        <v>1</v>
      </c>
      <c r="AA25" s="2">
        <f>IF(VLOOKUP($O25,GW!$C:$AZ,'Pomocný'!AA$1,FALSE)=AA$27,1,0)</f>
        <v>1</v>
      </c>
      <c r="AB25" s="2">
        <f>IF(VLOOKUP($O25,GW!$C:$AZ,'Pomocný'!AB$1,FALSE)=AB$27,1,0)</f>
        <v>0</v>
      </c>
      <c r="AC25" s="2">
        <f>IF(VLOOKUP($O25,GW!$C:$AZ,'Pomocný'!AC$1,FALSE)=AC$27,1,0)</f>
        <v>0</v>
      </c>
      <c r="AD25" s="2">
        <f>IF(VLOOKUP($O25,GW!$C:$AZ,'Pomocný'!AD$1,FALSE)=AD$27,1,0)</f>
        <v>0</v>
      </c>
      <c r="AE25" s="2">
        <f>IF(VLOOKUP($O25,GW!$C:$AZ,'Pomocný'!AE$1,FALSE)=AE$27,1,0)</f>
        <v>1</v>
      </c>
      <c r="AF25" s="2">
        <f>IF(VLOOKUP($O25,GW!$C:$AZ,'Pomocný'!AF$1,FALSE)=AF$27,1,0)</f>
        <v>0</v>
      </c>
      <c r="AG25" s="2">
        <f>IF(VLOOKUP($O25,GW!$C:$AZ,'Pomocný'!AG$1,FALSE)=AG$27,1,0)</f>
        <v>0</v>
      </c>
      <c r="AH25" s="2">
        <f>IF(VLOOKUP($O25,GW!$C:$AZ,'Pomocný'!AH$1,FALSE)=AH$27,1,0)</f>
        <v>1</v>
      </c>
      <c r="AI25" s="2">
        <f>IF(VLOOKUP($O25,GW!$C:$AZ,'Pomocný'!AI$1,FALSE)=AI$27,1,0)</f>
        <v>0</v>
      </c>
      <c r="AJ25" s="2">
        <f>IF(VLOOKUP($O25,GW!$C:$AZ,'Pomocný'!AJ$1,FALSE)=AJ$27,1,0)</f>
        <v>1</v>
      </c>
      <c r="AK25" s="2">
        <f>IF(VLOOKUP($O25,GW!$C:$AZ,'Pomocný'!AK$1,FALSE)=AK$27,1,0)</f>
        <v>0</v>
      </c>
      <c r="AL25" s="2">
        <f>IF(VLOOKUP($O25,GW!$C:$AZ,'Pomocný'!AL$1,FALSE)=AL$27,1,0)</f>
        <v>1</v>
      </c>
      <c r="AM25" s="2">
        <f>IF(VLOOKUP($O25,GW!$C:$AZ,'Pomocný'!AM$1,FALSE)=AM$27,1,0)</f>
        <v>0</v>
      </c>
      <c r="AN25" s="2">
        <f>IF(VLOOKUP($O25,GW!$C:$AZ,'Pomocný'!AN$1,FALSE)=AN$27,1,0)</f>
        <v>0</v>
      </c>
      <c r="AO25" s="2">
        <f>IF(VLOOKUP($O25,GW!$C:$AZ,'Pomocný'!AO$1,FALSE)=AO$27,1,0)</f>
        <v>0</v>
      </c>
      <c r="AP25" s="2">
        <f>IF(VLOOKUP($O25,GW!$C:$AZ,'Pomocný'!AP$1,FALSE)=AP$27,1,0)</f>
        <v>0</v>
      </c>
      <c r="AQ25" s="2">
        <f>IF(VLOOKUP($O25,GW!$C:$AZ,'Pomocný'!AQ$1,FALSE)=AQ$27,1,0)</f>
        <v>0</v>
      </c>
      <c r="AR25" s="2">
        <f>IF(VLOOKUP($O25,GW!$C:$AZ,'Pomocný'!AR$1,FALSE)=AR$27,1,0)</f>
        <v>0</v>
      </c>
      <c r="AS25" s="2">
        <f>IF(VLOOKUP($O25,GW!$C:$AZ,'Pomocný'!AS$1,FALSE)=AS$27,1,0)</f>
        <v>0</v>
      </c>
      <c r="AT25" s="2">
        <f>IF(VLOOKUP($O25,GW!$C:$AZ,'Pomocný'!AT$1,FALSE)=AT$27,1,0)</f>
        <v>0</v>
      </c>
      <c r="AU25" s="2">
        <f>IF(VLOOKUP($O25,GW!$C:$AZ,'Pomocný'!AU$1,FALSE)=AU$27,1,0)</f>
        <v>0</v>
      </c>
      <c r="AV25" s="2">
        <f>IF(VLOOKUP($O25,GW!$C:$AZ,'Pomocný'!AV$1,FALSE)=AV$27,1,0)</f>
        <v>0</v>
      </c>
      <c r="AW25" s="2">
        <f>IF(VLOOKUP($O25,GW!$C:$AZ,'Pomocný'!AW$1,FALSE)=AW$27,1,0)</f>
        <v>0</v>
      </c>
      <c r="AX25" s="2">
        <f>IF(VLOOKUP($O25,GW!$C:$AZ,'Pomocný'!AX$1,FALSE)=AX$27,1,0)</f>
        <v>0</v>
      </c>
      <c r="AY25" s="2">
        <f>IF(VLOOKUP($O25,GW!$C:$AZ,'Pomocný'!AY$1,FALSE)=AY$27,1,0)</f>
        <v>0</v>
      </c>
      <c r="AZ25" s="2">
        <f>IF(VLOOKUP($O25,GW!$C:$AZ,'Pomocný'!AZ$1,FALSE)=AZ$27,1,0)</f>
        <v>0</v>
      </c>
      <c r="BA25" s="2">
        <f>IF(VLOOKUP($O25,GW!$C:$AZ,'Pomocný'!BA$1,FALSE)=BA$27,1,0)</f>
        <v>0</v>
      </c>
      <c r="BB25" s="2">
        <f>IF(VLOOKUP($O25,GW!$C:$AZ,'Pomocný'!BB$1,FALSE)=BB$27,1,0)</f>
        <v>0</v>
      </c>
    </row>
    <row r="26" ht="14.25" customHeight="1">
      <c r="B26" s="2" t="s">
        <v>85</v>
      </c>
      <c r="C26" s="2" t="str">
        <f t="shared" ref="C26:D26" si="23">RANK(C13,C$3:C$13)</f>
        <v>#N/A</v>
      </c>
      <c r="D26" s="2" t="str">
        <f t="shared" si="23"/>
        <v>#N/A</v>
      </c>
      <c r="E26" s="2" t="str">
        <f t="shared" ref="E26:L26" si="24">IF(E13=0,"",RANK(E13,E$3:E$13))</f>
        <v/>
      </c>
      <c r="F26" s="2" t="str">
        <f t="shared" si="24"/>
        <v/>
      </c>
      <c r="G26" s="2" t="str">
        <f t="shared" si="24"/>
        <v/>
      </c>
      <c r="H26" s="2" t="str">
        <f t="shared" si="24"/>
        <v/>
      </c>
      <c r="I26" s="2" t="str">
        <f t="shared" si="24"/>
        <v/>
      </c>
      <c r="J26" s="2" t="str">
        <f t="shared" si="24"/>
        <v/>
      </c>
      <c r="K26" s="2" t="str">
        <f t="shared" si="24"/>
        <v/>
      </c>
      <c r="L26" s="2" t="str">
        <f t="shared" si="24"/>
        <v/>
      </c>
      <c r="M26" s="2" t="s">
        <v>85</v>
      </c>
      <c r="O26" s="2" t="s">
        <v>85</v>
      </c>
      <c r="P26" s="2" t="str">
        <f t="shared" si="6"/>
        <v>#N/A</v>
      </c>
      <c r="Q26" s="2" t="str">
        <f>IF(VLOOKUP($O26,GW!$C:$AZ,'Pomocný'!Q$1,FALSE)=Q$27,1,0)</f>
        <v>#N/A</v>
      </c>
      <c r="R26" s="2" t="str">
        <f>IF(VLOOKUP($O26,GW!$C:$AZ,'Pomocný'!R$1,FALSE)=R$27,1,0)</f>
        <v>#N/A</v>
      </c>
      <c r="S26" s="2" t="str">
        <f>IF(VLOOKUP($O26,GW!$C:$AZ,'Pomocný'!S$1,FALSE)=S$27,1,0)</f>
        <v>#N/A</v>
      </c>
      <c r="T26" s="2" t="str">
        <f>IF(VLOOKUP($O26,GW!$C:$AZ,'Pomocný'!T$1,FALSE)=T$27,1,0)</f>
        <v>#N/A</v>
      </c>
      <c r="U26" s="2" t="str">
        <f>IF(VLOOKUP($O26,GW!$C:$AZ,'Pomocný'!U$1,FALSE)=U$27,1,0)</f>
        <v>#N/A</v>
      </c>
      <c r="V26" s="2" t="str">
        <f>IF(VLOOKUP($O26,GW!$C:$AZ,'Pomocný'!V$1,FALSE)=V$27,1,0)</f>
        <v>#N/A</v>
      </c>
      <c r="W26" s="2" t="str">
        <f>IF(VLOOKUP($O26,GW!$C:$AZ,'Pomocný'!W$1,FALSE)=W$27,1,0)</f>
        <v>#N/A</v>
      </c>
      <c r="X26" s="2" t="str">
        <f>IF(VLOOKUP($O26,GW!$C:$AZ,'Pomocný'!X$1,FALSE)=X$27,1,0)</f>
        <v>#N/A</v>
      </c>
      <c r="Y26" s="2" t="str">
        <f>IF(VLOOKUP($O26,GW!$C:$AZ,'Pomocný'!Y$1,FALSE)=Y$27,1,0)</f>
        <v>#N/A</v>
      </c>
      <c r="Z26" s="2" t="str">
        <f>IF(VLOOKUP($O26,GW!$C:$AZ,'Pomocný'!Z$1,FALSE)=Z$27,1,0)</f>
        <v>#N/A</v>
      </c>
      <c r="AA26" s="2" t="str">
        <f>IF(VLOOKUP($O26,GW!$C:$AZ,'Pomocný'!AA$1,FALSE)=AA$27,1,0)</f>
        <v>#N/A</v>
      </c>
      <c r="AB26" s="2" t="str">
        <f>IF(VLOOKUP($O26,GW!$C:$AZ,'Pomocný'!AB$1,FALSE)=AB$27,1,0)</f>
        <v>#N/A</v>
      </c>
      <c r="AC26" s="2" t="str">
        <f>IF(VLOOKUP($O26,GW!$C:$AZ,'Pomocný'!AC$1,FALSE)=AC$27,1,0)</f>
        <v>#N/A</v>
      </c>
      <c r="AD26" s="2" t="str">
        <f>IF(VLOOKUP($O26,GW!$C:$AZ,'Pomocný'!AD$1,FALSE)=AD$27,1,0)</f>
        <v>#N/A</v>
      </c>
      <c r="AE26" s="2" t="str">
        <f>IF(VLOOKUP($O26,GW!$C:$AZ,'Pomocný'!AE$1,FALSE)=AE$27,1,0)</f>
        <v>#N/A</v>
      </c>
      <c r="AF26" s="2" t="str">
        <f>IF(VLOOKUP($O26,GW!$C:$AZ,'Pomocný'!AF$1,FALSE)=AF$27,1,0)</f>
        <v>#N/A</v>
      </c>
      <c r="AG26" s="2" t="str">
        <f>IF(VLOOKUP($O26,GW!$C:$AZ,'Pomocný'!AG$1,FALSE)=AG$27,1,0)</f>
        <v>#N/A</v>
      </c>
      <c r="AH26" s="2" t="str">
        <f>IF(VLOOKUP($O26,GW!$C:$AZ,'Pomocný'!AH$1,FALSE)=AH$27,1,0)</f>
        <v>#N/A</v>
      </c>
      <c r="AI26" s="2" t="str">
        <f>IF(VLOOKUP($O26,GW!$C:$AZ,'Pomocný'!AI$1,FALSE)=AI$27,1,0)</f>
        <v>#N/A</v>
      </c>
      <c r="AJ26" s="2" t="str">
        <f>IF(VLOOKUP($O26,GW!$C:$AZ,'Pomocný'!AJ$1,FALSE)=AJ$27,1,0)</f>
        <v>#N/A</v>
      </c>
      <c r="AK26" s="2" t="str">
        <f>IF(VLOOKUP($O26,GW!$C:$AZ,'Pomocný'!AK$1,FALSE)=AK$27,1,0)</f>
        <v>#N/A</v>
      </c>
      <c r="AL26" s="2" t="str">
        <f>IF(VLOOKUP($O26,GW!$C:$AZ,'Pomocný'!AL$1,FALSE)=AL$27,1,0)</f>
        <v>#N/A</v>
      </c>
      <c r="AM26" s="2" t="str">
        <f>IF(VLOOKUP($O26,GW!$C:$AZ,'Pomocný'!AM$1,FALSE)=AM$27,1,0)</f>
        <v>#N/A</v>
      </c>
      <c r="AN26" s="2" t="str">
        <f>IF(VLOOKUP($O26,GW!$C:$AZ,'Pomocný'!AN$1,FALSE)=AN$27,1,0)</f>
        <v>#N/A</v>
      </c>
      <c r="AO26" s="2" t="str">
        <f>IF(VLOOKUP($O26,GW!$C:$AZ,'Pomocný'!AO$1,FALSE)=AO$27,1,0)</f>
        <v>#N/A</v>
      </c>
      <c r="AP26" s="2" t="str">
        <f>IF(VLOOKUP($O26,GW!$C:$AZ,'Pomocný'!AP$1,FALSE)=AP$27,1,0)</f>
        <v>#N/A</v>
      </c>
      <c r="AQ26" s="2" t="str">
        <f>IF(VLOOKUP($O26,GW!$C:$AZ,'Pomocný'!AQ$1,FALSE)=AQ$27,1,0)</f>
        <v>#N/A</v>
      </c>
      <c r="AR26" s="2" t="str">
        <f>IF(VLOOKUP($O26,GW!$C:$AZ,'Pomocný'!AR$1,FALSE)=AR$27,1,0)</f>
        <v>#N/A</v>
      </c>
      <c r="AS26" s="2" t="str">
        <f>IF(VLOOKUP($O26,GW!$C:$AZ,'Pomocný'!AS$1,FALSE)=AS$27,1,0)</f>
        <v>#N/A</v>
      </c>
      <c r="AT26" s="2" t="str">
        <f>IF(VLOOKUP($O26,GW!$C:$AZ,'Pomocný'!AT$1,FALSE)=AT$27,1,0)</f>
        <v>#N/A</v>
      </c>
      <c r="AU26" s="2" t="str">
        <f>IF(VLOOKUP($O26,GW!$C:$AZ,'Pomocný'!AU$1,FALSE)=AU$27,1,0)</f>
        <v>#N/A</v>
      </c>
      <c r="AV26" s="2" t="str">
        <f>IF(VLOOKUP($O26,GW!$C:$AZ,'Pomocný'!AV$1,FALSE)=AV$27,1,0)</f>
        <v>#N/A</v>
      </c>
      <c r="AW26" s="2" t="str">
        <f>IF(VLOOKUP($O26,GW!$C:$AZ,'Pomocný'!AW$1,FALSE)=AW$27,1,0)</f>
        <v>#N/A</v>
      </c>
      <c r="AX26" s="2" t="str">
        <f>IF(VLOOKUP($O26,GW!$C:$AZ,'Pomocný'!AX$1,FALSE)=AX$27,1,0)</f>
        <v>#N/A</v>
      </c>
      <c r="AY26" s="2" t="str">
        <f>IF(VLOOKUP($O26,GW!$C:$AZ,'Pomocný'!AY$1,FALSE)=AY$27,1,0)</f>
        <v>#N/A</v>
      </c>
      <c r="AZ26" s="2" t="str">
        <f>IF(VLOOKUP($O26,GW!$C:$AZ,'Pomocný'!AZ$1,FALSE)=AZ$27,1,0)</f>
        <v>#N/A</v>
      </c>
      <c r="BA26" s="2" t="str">
        <f>IF(VLOOKUP($O26,GW!$C:$AZ,'Pomocný'!BA$1,FALSE)=BA$27,1,0)</f>
        <v>#N/A</v>
      </c>
      <c r="BB26" s="2" t="str">
        <f>IF(VLOOKUP($O26,GW!$C:$AZ,'Pomocný'!BB$1,FALSE)=BB$27,1,0)</f>
        <v>#N/A</v>
      </c>
    </row>
    <row r="27" ht="14.25" customHeight="1">
      <c r="Q27" s="26">
        <f>IF(HLOOKUP(Q2,GW!3:14,2,FALSE)=0,-1,MIN(GW!O$4:O$14))</f>
        <v>37</v>
      </c>
      <c r="R27" s="26">
        <f>IF(HLOOKUP(R2,GW!3:14,2,FALSE)=0,-1,MIN(GW!P$4:P$14))</f>
        <v>42</v>
      </c>
      <c r="S27" s="26">
        <f>IF(HLOOKUP(S2,GW!3:14,2,FALSE)=0,-1,MIN(GW!Q$4:Q$14))</f>
        <v>29</v>
      </c>
      <c r="T27" s="26">
        <f>IF(HLOOKUP(T2,GW!3:14,2,FALSE)=0,-1,MIN(GW!R$4:R$14))</f>
        <v>26</v>
      </c>
      <c r="U27" s="26">
        <f>IF(HLOOKUP(U2,GW!3:14,2,FALSE)=0,-1,MIN(GW!S$4:S$14))</f>
        <v>49</v>
      </c>
      <c r="V27" s="26">
        <f>IF(HLOOKUP(V2,GW!3:14,2,FALSE)=0,-1,MIN(GW!T$4:T$14))</f>
        <v>37</v>
      </c>
      <c r="W27" s="26">
        <f>IF(HLOOKUP(W2,GW!3:14,2,FALSE)=0,-1,MIN(GW!U$4:U$14))</f>
        <v>41</v>
      </c>
      <c r="X27" s="26">
        <f>IF(HLOOKUP(X2,GW!3:14,2,FALSE)=0,-1,MIN(GW!V$4:V$14))</f>
        <v>14</v>
      </c>
      <c r="Y27" s="26">
        <f>IF(HLOOKUP(Y2,GW!3:14,2,FALSE)=0,-1,MIN(GW!W$4:W$14))</f>
        <v>36</v>
      </c>
      <c r="Z27" s="26">
        <f>IF(HLOOKUP(Z2,GW!3:14,2,FALSE)=0,-1,MIN(GW!X$4:X$14))</f>
        <v>25</v>
      </c>
      <c r="AA27" s="26">
        <f>IF(HLOOKUP(AA2,GW!3:14,2,FALSE)=0,-1,MIN(GW!Y$4:Y$14))</f>
        <v>27</v>
      </c>
      <c r="AB27" s="26">
        <f>IF(HLOOKUP(AB2,GW!3:14,2,FALSE)=0,-1,MIN(GW!Z$4:Z$14))</f>
        <v>25</v>
      </c>
      <c r="AC27" s="26">
        <f>IF(HLOOKUP(AC2,GW!3:14,2,FALSE)=0,-1,MIN(GW!AA$4:AA$14))</f>
        <v>53</v>
      </c>
      <c r="AD27" s="26">
        <f>IF(HLOOKUP(AD2,GW!3:14,2,FALSE)=0,-1,MIN(GW!AB$4:AB$14))</f>
        <v>30</v>
      </c>
      <c r="AE27" s="26">
        <f>IF(HLOOKUP(AE2,GW!3:14,2,FALSE)=0,-1,MIN(GW!AC$4:AC$14))</f>
        <v>30</v>
      </c>
      <c r="AF27" s="26">
        <f>IF(HLOOKUP(AF2,GW!3:14,2,FALSE)=0,-1,MIN(GW!AD$4:AD$14))</f>
        <v>25</v>
      </c>
      <c r="AG27" s="26">
        <f>IF(HLOOKUP(AG2,GW!3:14,2,FALSE)=0,-1,MIN(GW!AE$4:AE$14))</f>
        <v>25</v>
      </c>
      <c r="AH27" s="26">
        <f>IF(HLOOKUP(AH2,GW!3:14,2,FALSE)=0,-1,MIN(GW!AF$4:AF$14))</f>
        <v>42</v>
      </c>
      <c r="AI27" s="26">
        <f>IF(HLOOKUP(AI2,GW!3:14,2,FALSE)=0,-1,MIN(GW!AG$4:AG$14))</f>
        <v>38</v>
      </c>
      <c r="AJ27" s="26">
        <f>IF(HLOOKUP(AJ2,GW!3:14,2,FALSE)=0,-1,MIN(GW!AH$4:AH$14))</f>
        <v>41</v>
      </c>
      <c r="AK27" s="26">
        <f>IF(HLOOKUP(AK2,GW!3:14,2,FALSE)=0,-1,MIN(GW!AI$4:AI$14))</f>
        <v>51</v>
      </c>
      <c r="AL27" s="26">
        <f>IF(HLOOKUP(AL2,GW!3:14,2,FALSE)=0,-1,MIN(GW!AJ$4:AJ$14))</f>
        <v>26</v>
      </c>
      <c r="AM27" s="26">
        <f>IF(HLOOKUP(AM2,GW!3:14,2,FALSE)=0,-1,MIN(GW!AK$4:AK$14))</f>
        <v>45</v>
      </c>
      <c r="AN27" s="26">
        <f>IF(HLOOKUP(AN2,GW!3:14,2,FALSE)=0,-1,MIN(GW!AL$4:AL$14))</f>
        <v>39</v>
      </c>
      <c r="AO27" s="26">
        <f>IF(HLOOKUP(AO2,GW!3:14,2,FALSE)=0,-1,MIN(GW!AM$4:AM$14))</f>
        <v>46</v>
      </c>
      <c r="AP27" s="26">
        <f>IF(HLOOKUP(AP2,GW!3:14,2,FALSE)=0,-1,MIN(GW!AN$4:AN$14))</f>
        <v>53</v>
      </c>
      <c r="AQ27" s="26">
        <f>IF(HLOOKUP(AQ2,GW!3:14,2,FALSE)=0,-1,MIN(GW!AO$4:AO$14))</f>
        <v>42</v>
      </c>
      <c r="AR27" s="26">
        <f>IF(HLOOKUP(AR2,GW!3:14,2,FALSE)=0,-1,MIN(GW!AP$4:AP$14))</f>
        <v>47</v>
      </c>
      <c r="AS27" s="26">
        <f>IF(HLOOKUP(AS2,GW!3:14,2,FALSE)=0,-1,MIN(GW!AQ$4:AQ$14))</f>
        <v>29</v>
      </c>
      <c r="AT27" s="26">
        <f>IF(HLOOKUP(AT2,GW!3:14,2,FALSE)=0,-1,MIN(GW!AR$4:AR$14))</f>
        <v>40</v>
      </c>
      <c r="AU27" s="26">
        <f>IF(HLOOKUP(AU2,GW!3:14,2,FALSE)=0,-1,MIN(GW!AS$4:AS$14))</f>
        <v>25</v>
      </c>
      <c r="AV27" s="26">
        <f>IF(HLOOKUP(AV2,GW!3:14,2,FALSE)=0,-1,MIN(GW!AT$4:AT$14))</f>
        <v>47</v>
      </c>
      <c r="AW27" s="26">
        <f>IF(HLOOKUP(AW2,GW!3:14,2,FALSE)=0,-1,MIN(GW!AU$4:AU$14))</f>
        <v>45</v>
      </c>
      <c r="AX27" s="26">
        <f>IF(HLOOKUP(AX2,GW!3:14,2,FALSE)=0,-1,MIN(GW!AV$4:AV$14))</f>
        <v>51</v>
      </c>
      <c r="AY27" s="26">
        <f>IF(HLOOKUP(AY2,GW!3:14,2,FALSE)=0,-1,MIN(GW!AW$4:AW$14))</f>
        <v>34</v>
      </c>
      <c r="AZ27" s="26">
        <f>IF(HLOOKUP(AZ2,GW!3:14,2,FALSE)=0,-1,MIN(GW!AX$4:AX$14))</f>
        <v>35</v>
      </c>
      <c r="BA27" s="26">
        <f>IF(HLOOKUP(BA2,GW!3:14,2,FALSE)=0,-1,MIN(GW!AY$4:AY$14))</f>
        <v>43</v>
      </c>
      <c r="BB27" s="26">
        <f>IF(HLOOKUP(BB2,GW!3:14,2,FALSE)=0,-1,MIN(GW!AZ$4:AZ$14))</f>
        <v>38</v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14.25" customHeight="1"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14.25" customHeight="1"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14.25" customHeight="1"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14.25" customHeight="1"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14.25" customHeight="1"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14.25" customHeight="1"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14.25" customHeight="1"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14.25" customHeight="1"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14.25" customHeight="1"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14.25" customHeight="1"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14.25" customHeight="1"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14.25" customHeight="1"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14.25" customHeight="1"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14.25" customHeight="1"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14.25" customHeight="1"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14.25" customHeight="1"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14.25" customHeight="1"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14.25" customHeight="1"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14.25" customHeight="1"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14.25" customHeight="1"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14.25" customHeight="1"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14.25" customHeight="1"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14.25" customHeight="1"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14.25" customHeight="1"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14.25" customHeight="1"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14.25" customHeight="1"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14.25" customHeight="1"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14.25" customHeight="1"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14.25" customHeight="1"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14.25" customHeight="1"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14.25" customHeight="1"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14.25" customHeight="1"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14.25" customHeight="1"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14.25" customHeight="1"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14.25" customHeight="1"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14.25" customHeight="1"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14.25" customHeight="1"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14.25" customHeight="1"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14.25" customHeight="1"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14.25" customHeight="1"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14.25" customHeight="1"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14.25" customHeight="1"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14.25" customHeight="1"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14.25" customHeight="1"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14.25" customHeight="1"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14.25" customHeight="1"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conditionalFormatting sqref="C3:F13 G13:K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87401575" footer="0.0" header="0.0" left="0.7" right="0.7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2022-08-29T11:38:01Z</dcterms:created>
  <dc:creator>Kreps Tomáš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a71049-ab6d-463d-b568-0751aa1e8107_Enabled">
    <vt:lpwstr>true</vt:lpwstr>
  </property>
  <property fmtid="{D5CDD505-2E9C-101B-9397-08002B2CF9AE}" pid="3" name="MSIP_Label_17a71049-ab6d-463d-b568-0751aa1e8107_SetDate">
    <vt:lpwstr>2022-08-29T11:38:02Z</vt:lpwstr>
  </property>
  <property fmtid="{D5CDD505-2E9C-101B-9397-08002B2CF9AE}" pid="4" name="MSIP_Label_17a71049-ab6d-463d-b568-0751aa1e8107_Method">
    <vt:lpwstr>Standard</vt:lpwstr>
  </property>
  <property fmtid="{D5CDD505-2E9C-101B-9397-08002B2CF9AE}" pid="5" name="MSIP_Label_17a71049-ab6d-463d-b568-0751aa1e8107_Name">
    <vt:lpwstr>Důvěrné-CZE-Viditelna</vt:lpwstr>
  </property>
  <property fmtid="{D5CDD505-2E9C-101B-9397-08002B2CF9AE}" pid="6" name="MSIP_Label_17a71049-ab6d-463d-b568-0751aa1e8107_SiteId">
    <vt:lpwstr>cbeb3ecc-6f45-4183-b5a8-088140deae5d</vt:lpwstr>
  </property>
  <property fmtid="{D5CDD505-2E9C-101B-9397-08002B2CF9AE}" pid="7" name="MSIP_Label_17a71049-ab6d-463d-b568-0751aa1e8107_ActionId">
    <vt:lpwstr>1141be0b-fdbc-4dc4-8de4-988cf8b1df0e</vt:lpwstr>
  </property>
  <property fmtid="{D5CDD505-2E9C-101B-9397-08002B2CF9AE}" pid="8" name="MSIP_Label_17a71049-ab6d-463d-b568-0751aa1e8107_ContentBits">
    <vt:lpwstr>2</vt:lpwstr>
  </property>
</Properties>
</file>